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mohmedi/Desktop/MGT3009/"/>
    </mc:Choice>
  </mc:AlternateContent>
  <xr:revisionPtr revIDLastSave="0" documentId="13_ncr:1_{620AB527-0A59-B94B-960D-7B442A4E3002}" xr6:coauthVersionLast="47" xr6:coauthVersionMax="47" xr10:uidLastSave="{00000000-0000-0000-0000-000000000000}"/>
  <bookViews>
    <workbookView xWindow="7000" yWindow="800" windowWidth="18800" windowHeight="22580" xr2:uid="{00000000-000D-0000-FFFF-FFFF00000000}"/>
  </bookViews>
  <sheets>
    <sheet name="Black-Litterman" sheetId="1" r:id="rId1"/>
  </sheets>
  <externalReferences>
    <externalReference r:id="rId2"/>
    <externalReference r:id="rId3"/>
  </externalReferences>
  <definedNames>
    <definedName name="solver_adj" localSheetId="0" hidden="1">'Black-Litterman'!$N$23:$Q$23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'Black-Litterman'!$N$44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2" i="1" l="1"/>
  <c r="O42" i="1"/>
  <c r="P42" i="1"/>
  <c r="Q42" i="1"/>
  <c r="U3" i="1"/>
  <c r="U2" i="1"/>
  <c r="U4" i="1" s="1"/>
  <c r="O4" i="1" l="1"/>
  <c r="P4" i="1"/>
  <c r="Q4" i="1"/>
  <c r="R4" i="1"/>
  <c r="N4" i="1"/>
  <c r="U1" i="1"/>
  <c r="H4" i="1"/>
  <c r="I4" i="1"/>
  <c r="J4" i="1"/>
  <c r="P5" i="1" s="1"/>
  <c r="K4" i="1"/>
  <c r="Q9" i="1" s="1"/>
  <c r="L4" i="1"/>
  <c r="R5" i="1" s="1"/>
  <c r="H5" i="1"/>
  <c r="N5" i="1" s="1"/>
  <c r="I5" i="1"/>
  <c r="J5" i="1"/>
  <c r="K5" i="1"/>
  <c r="L5" i="1"/>
  <c r="H6" i="1"/>
  <c r="I6" i="1"/>
  <c r="J6" i="1"/>
  <c r="K6" i="1"/>
  <c r="L6" i="1"/>
  <c r="H7" i="1"/>
  <c r="I7" i="1"/>
  <c r="J7" i="1"/>
  <c r="P11" i="1" s="1"/>
  <c r="K7" i="1"/>
  <c r="Q11" i="1" s="1"/>
  <c r="L7" i="1"/>
  <c r="H8" i="1"/>
  <c r="I8" i="1"/>
  <c r="J8" i="1"/>
  <c r="K8" i="1"/>
  <c r="L8" i="1"/>
  <c r="H9" i="1"/>
  <c r="I9" i="1"/>
  <c r="J9" i="1"/>
  <c r="K9" i="1"/>
  <c r="L9" i="1"/>
  <c r="H10" i="1"/>
  <c r="I10" i="1"/>
  <c r="J10" i="1"/>
  <c r="K10" i="1"/>
  <c r="L10" i="1"/>
  <c r="H11" i="1"/>
  <c r="I11" i="1"/>
  <c r="J11" i="1"/>
  <c r="K11" i="1"/>
  <c r="L11" i="1"/>
  <c r="H12" i="1"/>
  <c r="I12" i="1"/>
  <c r="J12" i="1"/>
  <c r="K12" i="1"/>
  <c r="L12" i="1"/>
  <c r="H13" i="1"/>
  <c r="I13" i="1"/>
  <c r="J13" i="1"/>
  <c r="K13" i="1"/>
  <c r="L13" i="1"/>
  <c r="H14" i="1"/>
  <c r="I14" i="1"/>
  <c r="J14" i="1"/>
  <c r="K14" i="1"/>
  <c r="L14" i="1"/>
  <c r="H15" i="1"/>
  <c r="I15" i="1"/>
  <c r="J15" i="1"/>
  <c r="K15" i="1"/>
  <c r="L15" i="1"/>
  <c r="H16" i="1"/>
  <c r="I16" i="1"/>
  <c r="J16" i="1"/>
  <c r="K16" i="1"/>
  <c r="L16" i="1"/>
  <c r="H17" i="1"/>
  <c r="I17" i="1"/>
  <c r="J17" i="1"/>
  <c r="K17" i="1"/>
  <c r="L17" i="1"/>
  <c r="H18" i="1"/>
  <c r="I18" i="1"/>
  <c r="J18" i="1"/>
  <c r="K18" i="1"/>
  <c r="L18" i="1"/>
  <c r="H19" i="1"/>
  <c r="I19" i="1"/>
  <c r="J19" i="1"/>
  <c r="K19" i="1"/>
  <c r="L19" i="1"/>
  <c r="H20" i="1"/>
  <c r="I20" i="1"/>
  <c r="J20" i="1"/>
  <c r="K20" i="1"/>
  <c r="L20" i="1"/>
  <c r="H21" i="1"/>
  <c r="I21" i="1"/>
  <c r="J21" i="1"/>
  <c r="K21" i="1"/>
  <c r="L21" i="1"/>
  <c r="H22" i="1"/>
  <c r="I22" i="1"/>
  <c r="J22" i="1"/>
  <c r="K22" i="1"/>
  <c r="L22" i="1"/>
  <c r="H23" i="1"/>
  <c r="I23" i="1"/>
  <c r="J23" i="1"/>
  <c r="K23" i="1"/>
  <c r="L23" i="1"/>
  <c r="H24" i="1"/>
  <c r="I24" i="1"/>
  <c r="J24" i="1"/>
  <c r="K24" i="1"/>
  <c r="L24" i="1"/>
  <c r="H25" i="1"/>
  <c r="I25" i="1"/>
  <c r="J25" i="1"/>
  <c r="K25" i="1"/>
  <c r="L25" i="1"/>
  <c r="H26" i="1"/>
  <c r="I26" i="1"/>
  <c r="J26" i="1"/>
  <c r="K26" i="1"/>
  <c r="L26" i="1"/>
  <c r="H27" i="1"/>
  <c r="I27" i="1"/>
  <c r="J27" i="1"/>
  <c r="K27" i="1"/>
  <c r="L27" i="1"/>
  <c r="H28" i="1"/>
  <c r="I28" i="1"/>
  <c r="J28" i="1"/>
  <c r="K28" i="1"/>
  <c r="L28" i="1"/>
  <c r="H29" i="1"/>
  <c r="I29" i="1"/>
  <c r="J29" i="1"/>
  <c r="K29" i="1"/>
  <c r="L29" i="1"/>
  <c r="H30" i="1"/>
  <c r="I30" i="1"/>
  <c r="J30" i="1"/>
  <c r="K30" i="1"/>
  <c r="L30" i="1"/>
  <c r="H31" i="1"/>
  <c r="I31" i="1"/>
  <c r="J31" i="1"/>
  <c r="K31" i="1"/>
  <c r="L31" i="1"/>
  <c r="H32" i="1"/>
  <c r="I32" i="1"/>
  <c r="J32" i="1"/>
  <c r="K32" i="1"/>
  <c r="L32" i="1"/>
  <c r="H33" i="1"/>
  <c r="I33" i="1"/>
  <c r="J33" i="1"/>
  <c r="K33" i="1"/>
  <c r="L33" i="1"/>
  <c r="H34" i="1"/>
  <c r="I34" i="1"/>
  <c r="J34" i="1"/>
  <c r="K34" i="1"/>
  <c r="L34" i="1"/>
  <c r="H35" i="1"/>
  <c r="I35" i="1"/>
  <c r="J35" i="1"/>
  <c r="K35" i="1"/>
  <c r="L35" i="1"/>
  <c r="H36" i="1"/>
  <c r="I36" i="1"/>
  <c r="J36" i="1"/>
  <c r="K36" i="1"/>
  <c r="L36" i="1"/>
  <c r="H37" i="1"/>
  <c r="I37" i="1"/>
  <c r="J37" i="1"/>
  <c r="K37" i="1"/>
  <c r="L37" i="1"/>
  <c r="H38" i="1"/>
  <c r="I38" i="1"/>
  <c r="J38" i="1"/>
  <c r="K38" i="1"/>
  <c r="L38" i="1"/>
  <c r="H39" i="1"/>
  <c r="I39" i="1"/>
  <c r="J39" i="1"/>
  <c r="K39" i="1"/>
  <c r="L39" i="1"/>
  <c r="H40" i="1"/>
  <c r="I40" i="1"/>
  <c r="J40" i="1"/>
  <c r="K40" i="1"/>
  <c r="L40" i="1"/>
  <c r="H41" i="1"/>
  <c r="I41" i="1"/>
  <c r="J41" i="1"/>
  <c r="K41" i="1"/>
  <c r="L41" i="1"/>
  <c r="H42" i="1"/>
  <c r="I42" i="1"/>
  <c r="J42" i="1"/>
  <c r="K42" i="1"/>
  <c r="L42" i="1"/>
  <c r="H43" i="1"/>
  <c r="I43" i="1"/>
  <c r="J43" i="1"/>
  <c r="K43" i="1"/>
  <c r="L43" i="1"/>
  <c r="H44" i="1"/>
  <c r="I44" i="1"/>
  <c r="J44" i="1"/>
  <c r="K44" i="1"/>
  <c r="L44" i="1"/>
  <c r="H45" i="1"/>
  <c r="I45" i="1"/>
  <c r="J45" i="1"/>
  <c r="K45" i="1"/>
  <c r="L45" i="1"/>
  <c r="H46" i="1"/>
  <c r="I46" i="1"/>
  <c r="J46" i="1"/>
  <c r="K46" i="1"/>
  <c r="L46" i="1"/>
  <c r="H47" i="1"/>
  <c r="I47" i="1"/>
  <c r="J47" i="1"/>
  <c r="K47" i="1"/>
  <c r="L47" i="1"/>
  <c r="H48" i="1"/>
  <c r="I48" i="1"/>
  <c r="J48" i="1"/>
  <c r="K48" i="1"/>
  <c r="L48" i="1"/>
  <c r="H49" i="1"/>
  <c r="I49" i="1"/>
  <c r="J49" i="1"/>
  <c r="K49" i="1"/>
  <c r="L49" i="1"/>
  <c r="H50" i="1"/>
  <c r="I50" i="1"/>
  <c r="J50" i="1"/>
  <c r="K50" i="1"/>
  <c r="L50" i="1"/>
  <c r="H51" i="1"/>
  <c r="I51" i="1"/>
  <c r="J51" i="1"/>
  <c r="K51" i="1"/>
  <c r="L51" i="1"/>
  <c r="H52" i="1"/>
  <c r="I52" i="1"/>
  <c r="J52" i="1"/>
  <c r="K52" i="1"/>
  <c r="L52" i="1"/>
  <c r="H53" i="1"/>
  <c r="I53" i="1"/>
  <c r="J53" i="1"/>
  <c r="K53" i="1"/>
  <c r="L53" i="1"/>
  <c r="H54" i="1"/>
  <c r="I54" i="1"/>
  <c r="J54" i="1"/>
  <c r="K54" i="1"/>
  <c r="L54" i="1"/>
  <c r="H55" i="1"/>
  <c r="I55" i="1"/>
  <c r="J55" i="1"/>
  <c r="K55" i="1"/>
  <c r="L55" i="1"/>
  <c r="H56" i="1"/>
  <c r="I56" i="1"/>
  <c r="J56" i="1"/>
  <c r="K56" i="1"/>
  <c r="L56" i="1"/>
  <c r="H57" i="1"/>
  <c r="I57" i="1"/>
  <c r="J57" i="1"/>
  <c r="K57" i="1"/>
  <c r="L57" i="1"/>
  <c r="H58" i="1"/>
  <c r="I58" i="1"/>
  <c r="J58" i="1"/>
  <c r="K58" i="1"/>
  <c r="L58" i="1"/>
  <c r="H59" i="1"/>
  <c r="I59" i="1"/>
  <c r="J59" i="1"/>
  <c r="K59" i="1"/>
  <c r="L59" i="1"/>
  <c r="H60" i="1"/>
  <c r="I60" i="1"/>
  <c r="J60" i="1"/>
  <c r="K60" i="1"/>
  <c r="L60" i="1"/>
  <c r="H61" i="1"/>
  <c r="I61" i="1"/>
  <c r="J61" i="1"/>
  <c r="K61" i="1"/>
  <c r="L61" i="1"/>
  <c r="H62" i="1"/>
  <c r="I62" i="1"/>
  <c r="J62" i="1"/>
  <c r="K62" i="1"/>
  <c r="L62" i="1"/>
  <c r="H63" i="1"/>
  <c r="I63" i="1"/>
  <c r="J63" i="1"/>
  <c r="K63" i="1"/>
  <c r="L63" i="1"/>
  <c r="H64" i="1"/>
  <c r="I64" i="1"/>
  <c r="J64" i="1"/>
  <c r="K64" i="1"/>
  <c r="L64" i="1"/>
  <c r="H65" i="1"/>
  <c r="I65" i="1"/>
  <c r="J65" i="1"/>
  <c r="K65" i="1"/>
  <c r="L65" i="1"/>
  <c r="H66" i="1"/>
  <c r="I66" i="1"/>
  <c r="J66" i="1"/>
  <c r="K66" i="1"/>
  <c r="L66" i="1"/>
  <c r="H67" i="1"/>
  <c r="I67" i="1"/>
  <c r="J67" i="1"/>
  <c r="K67" i="1"/>
  <c r="L67" i="1"/>
  <c r="H68" i="1"/>
  <c r="I68" i="1"/>
  <c r="J68" i="1"/>
  <c r="K68" i="1"/>
  <c r="L68" i="1"/>
  <c r="H69" i="1"/>
  <c r="I69" i="1"/>
  <c r="J69" i="1"/>
  <c r="K69" i="1"/>
  <c r="L69" i="1"/>
  <c r="H70" i="1"/>
  <c r="I70" i="1"/>
  <c r="J70" i="1"/>
  <c r="K70" i="1"/>
  <c r="L70" i="1"/>
  <c r="H71" i="1"/>
  <c r="I71" i="1"/>
  <c r="J71" i="1"/>
  <c r="K71" i="1"/>
  <c r="L71" i="1"/>
  <c r="H72" i="1"/>
  <c r="I72" i="1"/>
  <c r="J72" i="1"/>
  <c r="K72" i="1"/>
  <c r="L72" i="1"/>
  <c r="H73" i="1"/>
  <c r="I73" i="1"/>
  <c r="J73" i="1"/>
  <c r="K73" i="1"/>
  <c r="L73" i="1"/>
  <c r="H74" i="1"/>
  <c r="I74" i="1"/>
  <c r="J74" i="1"/>
  <c r="K74" i="1"/>
  <c r="L74" i="1"/>
  <c r="H75" i="1"/>
  <c r="I75" i="1"/>
  <c r="J75" i="1"/>
  <c r="K75" i="1"/>
  <c r="L75" i="1"/>
  <c r="H76" i="1"/>
  <c r="I76" i="1"/>
  <c r="J76" i="1"/>
  <c r="K76" i="1"/>
  <c r="L76" i="1"/>
  <c r="H77" i="1"/>
  <c r="I77" i="1"/>
  <c r="J77" i="1"/>
  <c r="K77" i="1"/>
  <c r="L77" i="1"/>
  <c r="H78" i="1"/>
  <c r="I78" i="1"/>
  <c r="J78" i="1"/>
  <c r="K78" i="1"/>
  <c r="L78" i="1"/>
  <c r="H79" i="1"/>
  <c r="I79" i="1"/>
  <c r="J79" i="1"/>
  <c r="K79" i="1"/>
  <c r="L79" i="1"/>
  <c r="H80" i="1"/>
  <c r="I80" i="1"/>
  <c r="J80" i="1"/>
  <c r="K80" i="1"/>
  <c r="L80" i="1"/>
  <c r="H81" i="1"/>
  <c r="I81" i="1"/>
  <c r="J81" i="1"/>
  <c r="K81" i="1"/>
  <c r="L81" i="1"/>
  <c r="H82" i="1"/>
  <c r="I82" i="1"/>
  <c r="J82" i="1"/>
  <c r="K82" i="1"/>
  <c r="L82" i="1"/>
  <c r="H83" i="1"/>
  <c r="I83" i="1"/>
  <c r="J83" i="1"/>
  <c r="K83" i="1"/>
  <c r="L83" i="1"/>
  <c r="H84" i="1"/>
  <c r="I84" i="1"/>
  <c r="J84" i="1"/>
  <c r="K84" i="1"/>
  <c r="L84" i="1"/>
  <c r="H85" i="1"/>
  <c r="I85" i="1"/>
  <c r="J85" i="1"/>
  <c r="K85" i="1"/>
  <c r="L85" i="1"/>
  <c r="H86" i="1"/>
  <c r="I86" i="1"/>
  <c r="J86" i="1"/>
  <c r="K86" i="1"/>
  <c r="L86" i="1"/>
  <c r="H87" i="1"/>
  <c r="I87" i="1"/>
  <c r="J87" i="1"/>
  <c r="K87" i="1"/>
  <c r="L87" i="1"/>
  <c r="H88" i="1"/>
  <c r="I88" i="1"/>
  <c r="J88" i="1"/>
  <c r="K88" i="1"/>
  <c r="L88" i="1"/>
  <c r="H89" i="1"/>
  <c r="I89" i="1"/>
  <c r="J89" i="1"/>
  <c r="K89" i="1"/>
  <c r="L89" i="1"/>
  <c r="H90" i="1"/>
  <c r="I90" i="1"/>
  <c r="J90" i="1"/>
  <c r="K90" i="1"/>
  <c r="L90" i="1"/>
  <c r="H91" i="1"/>
  <c r="I91" i="1"/>
  <c r="J91" i="1"/>
  <c r="K91" i="1"/>
  <c r="L91" i="1"/>
  <c r="H92" i="1"/>
  <c r="I92" i="1"/>
  <c r="J92" i="1"/>
  <c r="K92" i="1"/>
  <c r="L92" i="1"/>
  <c r="H93" i="1"/>
  <c r="I93" i="1"/>
  <c r="J93" i="1"/>
  <c r="K93" i="1"/>
  <c r="L93" i="1"/>
  <c r="H94" i="1"/>
  <c r="I94" i="1"/>
  <c r="J94" i="1"/>
  <c r="K94" i="1"/>
  <c r="L94" i="1"/>
  <c r="H95" i="1"/>
  <c r="I95" i="1"/>
  <c r="J95" i="1"/>
  <c r="K95" i="1"/>
  <c r="L95" i="1"/>
  <c r="H96" i="1"/>
  <c r="I96" i="1"/>
  <c r="J96" i="1"/>
  <c r="K96" i="1"/>
  <c r="L96" i="1"/>
  <c r="H97" i="1"/>
  <c r="I97" i="1"/>
  <c r="J97" i="1"/>
  <c r="K97" i="1"/>
  <c r="L97" i="1"/>
  <c r="H98" i="1"/>
  <c r="I98" i="1"/>
  <c r="J98" i="1"/>
  <c r="K98" i="1"/>
  <c r="L98" i="1"/>
  <c r="H99" i="1"/>
  <c r="I99" i="1"/>
  <c r="J99" i="1"/>
  <c r="K99" i="1"/>
  <c r="L99" i="1"/>
  <c r="H100" i="1"/>
  <c r="I100" i="1"/>
  <c r="J100" i="1"/>
  <c r="K100" i="1"/>
  <c r="L100" i="1"/>
  <c r="H101" i="1"/>
  <c r="I101" i="1"/>
  <c r="J101" i="1"/>
  <c r="K101" i="1"/>
  <c r="L101" i="1"/>
  <c r="H102" i="1"/>
  <c r="I102" i="1"/>
  <c r="J102" i="1"/>
  <c r="K102" i="1"/>
  <c r="L102" i="1"/>
  <c r="H103" i="1"/>
  <c r="I103" i="1"/>
  <c r="J103" i="1"/>
  <c r="K103" i="1"/>
  <c r="L103" i="1"/>
  <c r="H104" i="1"/>
  <c r="I104" i="1"/>
  <c r="J104" i="1"/>
  <c r="K104" i="1"/>
  <c r="L104" i="1"/>
  <c r="H105" i="1"/>
  <c r="I105" i="1"/>
  <c r="J105" i="1"/>
  <c r="K105" i="1"/>
  <c r="L105" i="1"/>
  <c r="I3" i="1"/>
  <c r="Q10" i="1" s="1"/>
  <c r="J3" i="1"/>
  <c r="P12" i="1" s="1"/>
  <c r="K3" i="1"/>
  <c r="Q12" i="1" s="1"/>
  <c r="L3" i="1"/>
  <c r="H3" i="1"/>
  <c r="N10" i="1" s="1"/>
  <c r="S41" i="1"/>
  <c r="N12" i="1" l="1"/>
  <c r="N11" i="1"/>
  <c r="P9" i="1"/>
  <c r="O10" i="1"/>
  <c r="O9" i="1"/>
  <c r="Q5" i="1"/>
  <c r="Q6" i="1" s="1"/>
  <c r="O11" i="1"/>
  <c r="N9" i="1"/>
  <c r="P10" i="1"/>
  <c r="O12" i="1"/>
  <c r="O5" i="1"/>
  <c r="O6" i="1" s="1"/>
  <c r="N6" i="1"/>
  <c r="P6" i="1"/>
  <c r="N16" i="1" l="1" a="1"/>
  <c r="N16" i="1" l="1"/>
  <c r="N25" i="1" s="1" a="1"/>
  <c r="N25" i="1" s="1"/>
  <c r="N28" i="1" s="1"/>
  <c r="N26" i="1" a="1"/>
  <c r="N26" i="1" s="1"/>
  <c r="N30" i="1" l="1"/>
  <c r="N29" i="1"/>
  <c r="N33" i="1" l="1"/>
  <c r="N31" i="1"/>
  <c r="N35" i="1" l="1"/>
  <c r="N36" i="1"/>
  <c r="N39" i="1" l="1" a="1"/>
  <c r="N39" i="1" s="1"/>
  <c r="N44" i="1" l="1" a="1"/>
  <c r="N4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<sst xmlns="http://schemas.openxmlformats.org/spreadsheetml/2006/main" count="41" uniqueCount="32">
  <si>
    <t>Return</t>
  </si>
  <si>
    <t>Beta</t>
  </si>
  <si>
    <t>CAPM</t>
  </si>
  <si>
    <t>Risk-free</t>
  </si>
  <si>
    <t>Covariance</t>
  </si>
  <si>
    <t>Inverse</t>
  </si>
  <si>
    <t>e</t>
  </si>
  <si>
    <t>r</t>
  </si>
  <si>
    <t>h</t>
  </si>
  <si>
    <t>g</t>
  </si>
  <si>
    <t>alpha</t>
  </si>
  <si>
    <t>beta</t>
  </si>
  <si>
    <t>gamma</t>
  </si>
  <si>
    <t>tangency</t>
  </si>
  <si>
    <t>lambda</t>
  </si>
  <si>
    <t>mu</t>
  </si>
  <si>
    <t>portfolio</t>
  </si>
  <si>
    <t>delta</t>
  </si>
  <si>
    <t>market cap</t>
  </si>
  <si>
    <t>value weighted</t>
  </si>
  <si>
    <t>deviation</t>
  </si>
  <si>
    <t>GOOGL US Equity  (R1)</t>
  </si>
  <si>
    <t>MSFT US Equity  (L1)</t>
  </si>
  <si>
    <t>MA US Equity  (R1)</t>
  </si>
  <si>
    <t>HD US Equity  (R1)</t>
  </si>
  <si>
    <t>SPXT Index  (R2)</t>
  </si>
  <si>
    <t>date</t>
  </si>
  <si>
    <t>GOOGL</t>
  </si>
  <si>
    <t>MSFT</t>
  </si>
  <si>
    <t>MA</t>
  </si>
  <si>
    <t>HD</t>
  </si>
  <si>
    <t>SPXT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</si>
</sst>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00000000000"/>
    <numFmt numFmtId="166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14" fontId="0" fillId="0" borderId="0" xfId="0" applyNumberFormat="1"/>
    <xf numFmtId="165" fontId="0" fillId="0" borderId="0" xfId="1" applyNumberFormat="1" applyFont="1" applyAlignment="1">
      <alignment horizontal="left"/>
    </xf>
    <xf numFmtId="166" fontId="0" fillId="0" borderId="0" xfId="0" applyNumberFormat="1"/>
    <xf numFmtId="1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66675</xdr:colOff>
      <xdr:row>31</xdr:row>
      <xdr:rowOff>138112</xdr:rowOff>
    </xdr:from>
    <xdr:ext cx="781304" cy="373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501FF2D-21E8-4E0A-B8D5-DFB5DA0B0A4C}"/>
                </a:ext>
              </a:extLst>
            </xdr:cNvPr>
            <xdr:cNvSpPr txBox="1"/>
          </xdr:nvSpPr>
          <xdr:spPr>
            <a:xfrm>
              <a:off x="10287000" y="6043612"/>
              <a:ext cx="781304" cy="373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𝛾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num>
                      <m:den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  <m:sSub>
                          <m:sSubPr>
                            <m:ctrlP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GB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𝑓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F501FF2D-21E8-4E0A-B8D5-DFB5DA0B0A4C}"/>
                </a:ext>
              </a:extLst>
            </xdr:cNvPr>
            <xdr:cNvSpPr txBox="1"/>
          </xdr:nvSpPr>
          <xdr:spPr>
            <a:xfrm>
              <a:off x="10287000" y="6043612"/>
              <a:ext cx="781304" cy="373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GB" sz="1100" b="0" i="0">
                  <a:latin typeface="Cambria Math" panose="02040503050406030204" pitchFamily="18" charset="0"/>
                </a:rPr>
                <a:t>𝑟_𝑡=(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𝛾−𝛽𝑟_𝑓)/(𝛽−𝛼𝑟_𝑓 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28575</xdr:colOff>
      <xdr:row>24</xdr:row>
      <xdr:rowOff>0</xdr:rowOff>
    </xdr:from>
    <xdr:ext cx="602088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65D1717-50BC-4972-9D90-663A6842743E}"/>
                </a:ext>
              </a:extLst>
            </xdr:cNvPr>
            <xdr:cNvSpPr txBox="1"/>
          </xdr:nvSpPr>
          <xdr:spPr>
            <a:xfrm>
              <a:off x="13411200" y="4572000"/>
              <a:ext cx="602088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h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65D1717-50BC-4972-9D90-663A6842743E}"/>
                </a:ext>
              </a:extLst>
            </xdr:cNvPr>
            <xdr:cNvSpPr txBox="1"/>
          </xdr:nvSpPr>
          <xdr:spPr>
            <a:xfrm>
              <a:off x="13411200" y="4572000"/>
              <a:ext cx="602088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ℎ=𝑒𝐶^(−1)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19050</xdr:colOff>
      <xdr:row>25</xdr:row>
      <xdr:rowOff>19050</xdr:rowOff>
    </xdr:from>
    <xdr:ext cx="607282" cy="1749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7A4B09-DE91-4CCA-807C-66203824EACE}"/>
                </a:ext>
              </a:extLst>
            </xdr:cNvPr>
            <xdr:cNvSpPr txBox="1"/>
          </xdr:nvSpPr>
          <xdr:spPr>
            <a:xfrm>
              <a:off x="13401675" y="4781550"/>
              <a:ext cx="607282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𝑔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𝑟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3E7A4B09-DE91-4CCA-807C-66203824EACE}"/>
                </a:ext>
              </a:extLst>
            </xdr:cNvPr>
            <xdr:cNvSpPr txBox="1"/>
          </xdr:nvSpPr>
          <xdr:spPr>
            <a:xfrm>
              <a:off x="13401675" y="4781550"/>
              <a:ext cx="607282" cy="1749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𝑔=𝑟𝐶^(−1)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104775</xdr:colOff>
      <xdr:row>27</xdr:row>
      <xdr:rowOff>0</xdr:rowOff>
    </xdr:from>
    <xdr:ext cx="530338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D0D3D1-E1A6-4074-BE8A-45F49D4BE183}"/>
                </a:ext>
              </a:extLst>
            </xdr:cNvPr>
            <xdr:cNvSpPr txBox="1"/>
          </xdr:nvSpPr>
          <xdr:spPr>
            <a:xfrm>
              <a:off x="10325100" y="5143500"/>
              <a:ext cx="53033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CBD0D3D1-E1A6-4074-BE8A-45F49D4BE183}"/>
                </a:ext>
              </a:extLst>
            </xdr:cNvPr>
            <xdr:cNvSpPr txBox="1"/>
          </xdr:nvSpPr>
          <xdr:spPr>
            <a:xfrm>
              <a:off x="10325100" y="5143500"/>
              <a:ext cx="530338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𝛼</a:t>
              </a:r>
              <a:r>
                <a:rPr lang="en-GB" sz="1100" b="0" i="0">
                  <a:latin typeface="Cambria Math" panose="02040503050406030204" pitchFamily="18" charset="0"/>
                </a:rPr>
                <a:t>=𝑒ℎ^𝑇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95250</xdr:colOff>
      <xdr:row>28</xdr:row>
      <xdr:rowOff>0</xdr:rowOff>
    </xdr:from>
    <xdr:ext cx="539315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D2DFB62-060D-4F61-96AC-58B3BBFD857A}"/>
                </a:ext>
              </a:extLst>
            </xdr:cNvPr>
            <xdr:cNvSpPr txBox="1"/>
          </xdr:nvSpPr>
          <xdr:spPr>
            <a:xfrm>
              <a:off x="10315575" y="5334000"/>
              <a:ext cx="539315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0D2DFB62-060D-4F61-96AC-58B3BBFD857A}"/>
                </a:ext>
              </a:extLst>
            </xdr:cNvPr>
            <xdr:cNvSpPr txBox="1"/>
          </xdr:nvSpPr>
          <xdr:spPr>
            <a:xfrm>
              <a:off x="10315575" y="5334000"/>
              <a:ext cx="539315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𝛽</a:t>
              </a:r>
              <a:r>
                <a:rPr lang="en-GB" sz="1100" b="0" i="0">
                  <a:latin typeface="Cambria Math" panose="02040503050406030204" pitchFamily="18" charset="0"/>
                </a:rPr>
                <a:t>=𝑒𝑔^𝑇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95250</xdr:colOff>
      <xdr:row>29</xdr:row>
      <xdr:rowOff>0</xdr:rowOff>
    </xdr:from>
    <xdr:ext cx="524567" cy="1754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639EEED-68E2-4591-A342-489A290159F7}"/>
                </a:ext>
              </a:extLst>
            </xdr:cNvPr>
            <xdr:cNvSpPr txBox="1"/>
          </xdr:nvSpPr>
          <xdr:spPr>
            <a:xfrm>
              <a:off x="10315575" y="5524500"/>
              <a:ext cx="524567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𝛾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𝑟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𝑇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C639EEED-68E2-4591-A342-489A290159F7}"/>
                </a:ext>
              </a:extLst>
            </xdr:cNvPr>
            <xdr:cNvSpPr txBox="1"/>
          </xdr:nvSpPr>
          <xdr:spPr>
            <a:xfrm>
              <a:off x="10315575" y="5524500"/>
              <a:ext cx="524567" cy="1754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𝛾</a:t>
              </a:r>
              <a:r>
                <a:rPr lang="en-GB" sz="1100" b="0" i="0">
                  <a:latin typeface="Cambria Math" panose="02040503050406030204" pitchFamily="18" charset="0"/>
                </a:rPr>
                <a:t>=𝑟𝑔^𝑇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95250</xdr:colOff>
      <xdr:row>30</xdr:row>
      <xdr:rowOff>0</xdr:rowOff>
    </xdr:from>
    <xdr:ext cx="808362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A110830-CDCE-4C8A-8D89-8C82F691D673}"/>
                </a:ext>
              </a:extLst>
            </xdr:cNvPr>
            <xdr:cNvSpPr txBox="1"/>
          </xdr:nvSpPr>
          <xdr:spPr>
            <a:xfrm>
              <a:off x="10315575" y="5715000"/>
              <a:ext cx="8083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∆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= 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𝛼𝛾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𝛽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A110830-CDCE-4C8A-8D89-8C82F691D673}"/>
                </a:ext>
              </a:extLst>
            </xdr:cNvPr>
            <xdr:cNvSpPr txBox="1"/>
          </xdr:nvSpPr>
          <xdr:spPr>
            <a:xfrm>
              <a:off x="10315575" y="5715000"/>
              <a:ext cx="808362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∆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= 𝛼𝛾−𝛽^2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66675</xdr:colOff>
      <xdr:row>34</xdr:row>
      <xdr:rowOff>9525</xdr:rowOff>
    </xdr:from>
    <xdr:ext cx="98693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4D9E16B-8F9F-4099-A94B-C2CD98D9C9A0}"/>
                </a:ext>
              </a:extLst>
            </xdr:cNvPr>
            <xdr:cNvSpPr txBox="1"/>
          </xdr:nvSpPr>
          <xdr:spPr>
            <a:xfrm>
              <a:off x="10287000" y="6486525"/>
              <a:ext cx="9869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=(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𝛾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𝛽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)/</m:t>
                    </m:r>
                    <m:r>
                      <m:rPr>
                        <m:sty m:val="p"/>
                      </m:rPr>
                      <a:rPr lang="el-G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Δ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D4D9E16B-8F9F-4099-A94B-C2CD98D9C9A0}"/>
                </a:ext>
              </a:extLst>
            </xdr:cNvPr>
            <xdr:cNvSpPr txBox="1"/>
          </xdr:nvSpPr>
          <xdr:spPr>
            <a:xfrm>
              <a:off x="10287000" y="6486525"/>
              <a:ext cx="98693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𝜆=(𝛾−𝛽𝑅)/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Δ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14</xdr:col>
      <xdr:colOff>57150</xdr:colOff>
      <xdr:row>35</xdr:row>
      <xdr:rowOff>19050</xdr:rowOff>
    </xdr:from>
    <xdr:ext cx="1003544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722B1D5-019C-436C-860D-537D205158ED}"/>
                </a:ext>
              </a:extLst>
            </xdr:cNvPr>
            <xdr:cNvSpPr txBox="1"/>
          </xdr:nvSpPr>
          <xdr:spPr>
            <a:xfrm>
              <a:off x="10277475" y="6686550"/>
              <a:ext cx="10035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𝛼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𝑅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𝛽</m:t>
                    </m:r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)/</m:t>
                    </m:r>
                    <m:r>
                      <m:rPr>
                        <m:sty m:val="p"/>
                      </m:rPr>
                      <a:rPr lang="el-GR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Δ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722B1D5-019C-436C-860D-537D205158ED}"/>
                </a:ext>
              </a:extLst>
            </xdr:cNvPr>
            <xdr:cNvSpPr txBox="1"/>
          </xdr:nvSpPr>
          <xdr:spPr>
            <a:xfrm>
              <a:off x="10277475" y="6686550"/>
              <a:ext cx="1003544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en-GB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𝛼𝑅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𝛽</a:t>
              </a: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18</xdr:col>
      <xdr:colOff>57150</xdr:colOff>
      <xdr:row>38</xdr:row>
      <xdr:rowOff>9525</xdr:rowOff>
    </xdr:from>
    <xdr:ext cx="87190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DA6F57F-932F-48F3-8C72-3DED5C85D05A}"/>
                </a:ext>
              </a:extLst>
            </xdr:cNvPr>
            <xdr:cNvSpPr txBox="1"/>
          </xdr:nvSpPr>
          <xdr:spPr>
            <a:xfrm>
              <a:off x="13639800" y="7248525"/>
              <a:ext cx="8719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𝑤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∗</m:t>
                        </m:r>
                      </m:sup>
                    </m:sSup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𝜆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h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en-GB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𝑔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DDA6F57F-932F-48F3-8C72-3DED5C85D05A}"/>
                </a:ext>
              </a:extLst>
            </xdr:cNvPr>
            <xdr:cNvSpPr txBox="1"/>
          </xdr:nvSpPr>
          <xdr:spPr>
            <a:xfrm>
              <a:off x="13639800" y="7248525"/>
              <a:ext cx="87190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𝑤^∗=𝜆ℎ+𝜇𝑔</a:t>
              </a:r>
              <a:endParaRPr lang="en-GB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ohmedi/Desktop/MGT3009/GOOG%20MSFT%20MA%20HD%20SPXT%20DATA.xlsx" TargetMode="External"/><Relationship Id="rId1" Type="http://schemas.openxmlformats.org/officeDocument/2006/relationships/externalLinkPath" Target="GOOG%20MSFT%20MA%20HD%20SPXT%20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johnmohmedi/Downloads/GOOGL_MSFT_MA_HD_MONTHLY.xlsx" TargetMode="External"/><Relationship Id="rId1" Type="http://schemas.openxmlformats.org/officeDocument/2006/relationships/externalLinkPath" Target="/Users/johnmohmedi/Downloads/GOOGL_MSFT_MA_HD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Investment"/>
      <sheetName val="PostInvestment"/>
    </sheetNames>
    <sheetDataSet>
      <sheetData sheetId="0">
        <row r="2">
          <cell r="R2">
            <v>4.8297999999999996</v>
          </cell>
        </row>
        <row r="3">
          <cell r="R3">
            <v>4.8078000000000003</v>
          </cell>
        </row>
        <row r="4">
          <cell r="R4">
            <v>4.8330000000000002</v>
          </cell>
        </row>
        <row r="5">
          <cell r="R5">
            <v>4.8219000000000003</v>
          </cell>
        </row>
        <row r="6">
          <cell r="R6">
            <v>4.7992999999999997</v>
          </cell>
        </row>
        <row r="7">
          <cell r="R7">
            <v>4.8090000000000002</v>
          </cell>
        </row>
        <row r="8">
          <cell r="R8">
            <v>4.8544</v>
          </cell>
        </row>
        <row r="9">
          <cell r="R9">
            <v>4.8433000000000002</v>
          </cell>
        </row>
        <row r="10">
          <cell r="R10">
            <v>4.8531000000000004</v>
          </cell>
        </row>
        <row r="11">
          <cell r="R11">
            <v>4.8719000000000001</v>
          </cell>
        </row>
        <row r="12">
          <cell r="R12">
            <v>4.8920000000000003</v>
          </cell>
        </row>
        <row r="13">
          <cell r="R13">
            <v>4.8855000000000004</v>
          </cell>
        </row>
        <row r="14">
          <cell r="R14">
            <v>4.8849</v>
          </cell>
        </row>
        <row r="15">
          <cell r="R15">
            <v>4.8219000000000003</v>
          </cell>
        </row>
        <row r="16">
          <cell r="R16">
            <v>4.8615000000000004</v>
          </cell>
        </row>
        <row r="17">
          <cell r="R17">
            <v>4.8712</v>
          </cell>
        </row>
        <row r="18">
          <cell r="R18">
            <v>4.9166999999999996</v>
          </cell>
        </row>
        <row r="19">
          <cell r="R19">
            <v>4.9057000000000004</v>
          </cell>
        </row>
        <row r="20">
          <cell r="R20">
            <v>4.8945999999999996</v>
          </cell>
        </row>
        <row r="21">
          <cell r="R21">
            <v>4.9549000000000003</v>
          </cell>
        </row>
        <row r="22">
          <cell r="R22">
            <v>4.9749999999999996</v>
          </cell>
        </row>
        <row r="23">
          <cell r="R23">
            <v>5.0311000000000003</v>
          </cell>
        </row>
        <row r="24">
          <cell r="R24">
            <v>4.9888000000000003</v>
          </cell>
        </row>
        <row r="25">
          <cell r="R25">
            <v>4.9881000000000002</v>
          </cell>
        </row>
        <row r="26">
          <cell r="R26">
            <v>4.9756999999999998</v>
          </cell>
        </row>
        <row r="27">
          <cell r="R27">
            <v>5.0054999999999996</v>
          </cell>
        </row>
        <row r="28">
          <cell r="R28">
            <v>5.0088999999999997</v>
          </cell>
        </row>
        <row r="29">
          <cell r="R29">
            <v>4.9881000000000002</v>
          </cell>
        </row>
        <row r="30">
          <cell r="R30">
            <v>4.9964000000000004</v>
          </cell>
        </row>
        <row r="31">
          <cell r="R31">
            <v>4.9958</v>
          </cell>
        </row>
        <row r="32">
          <cell r="R32">
            <v>5.0518999999999998</v>
          </cell>
        </row>
        <row r="33">
          <cell r="R33">
            <v>5.0614999999999997</v>
          </cell>
        </row>
        <row r="34">
          <cell r="R34">
            <v>5.0400999999999998</v>
          </cell>
        </row>
        <row r="35">
          <cell r="R35">
            <v>5.0484</v>
          </cell>
        </row>
        <row r="36">
          <cell r="R36">
            <v>5.0683999999999996</v>
          </cell>
        </row>
        <row r="37">
          <cell r="R37">
            <v>5.1246999999999998</v>
          </cell>
        </row>
        <row r="38">
          <cell r="R38">
            <v>5.1031000000000004</v>
          </cell>
        </row>
        <row r="39">
          <cell r="R39">
            <v>5.0815999999999999</v>
          </cell>
        </row>
        <row r="40">
          <cell r="R40">
            <v>5.0690999999999997</v>
          </cell>
        </row>
        <row r="41">
          <cell r="R41">
            <v>5.0788000000000002</v>
          </cell>
        </row>
        <row r="42">
          <cell r="R42">
            <v>5.1246999999999998</v>
          </cell>
        </row>
        <row r="43">
          <cell r="R43">
            <v>5.0926999999999998</v>
          </cell>
        </row>
        <row r="44">
          <cell r="R44">
            <v>5.0919999999999996</v>
          </cell>
        </row>
        <row r="45">
          <cell r="R45">
            <v>5.0484</v>
          </cell>
        </row>
        <row r="46">
          <cell r="R46">
            <v>5.0683999999999996</v>
          </cell>
        </row>
        <row r="47">
          <cell r="R47">
            <v>5.1039000000000003</v>
          </cell>
        </row>
        <row r="48">
          <cell r="R48">
            <v>5.1031000000000004</v>
          </cell>
        </row>
        <row r="49">
          <cell r="R49">
            <v>5.1024000000000003</v>
          </cell>
        </row>
        <row r="50">
          <cell r="R50">
            <v>5.0690999999999997</v>
          </cell>
        </row>
        <row r="51">
          <cell r="R51">
            <v>5.0995999999999997</v>
          </cell>
        </row>
        <row r="52">
          <cell r="R52">
            <v>5.0934999999999997</v>
          </cell>
        </row>
        <row r="53">
          <cell r="R53">
            <v>5.0614999999999997</v>
          </cell>
        </row>
        <row r="54">
          <cell r="R54">
            <v>5.0400999999999998</v>
          </cell>
        </row>
        <row r="55">
          <cell r="R55">
            <v>5.0587</v>
          </cell>
        </row>
        <row r="56">
          <cell r="R56">
            <v>5.0788000000000002</v>
          </cell>
        </row>
        <row r="57">
          <cell r="R57">
            <v>5.0830000000000002</v>
          </cell>
        </row>
        <row r="58">
          <cell r="R58">
            <v>5.0614999999999997</v>
          </cell>
        </row>
        <row r="59">
          <cell r="R59">
            <v>5.0815999999999999</v>
          </cell>
        </row>
        <row r="60">
          <cell r="R60">
            <v>5.0899000000000001</v>
          </cell>
        </row>
        <row r="61">
          <cell r="R61">
            <v>5.0788000000000002</v>
          </cell>
        </row>
        <row r="62">
          <cell r="R62">
            <v>5.0941999999999998</v>
          </cell>
        </row>
        <row r="63">
          <cell r="R63">
            <v>5.0830000000000002</v>
          </cell>
        </row>
        <row r="64">
          <cell r="R64">
            <v>5.0823</v>
          </cell>
        </row>
        <row r="65">
          <cell r="R65">
            <v>5.101</v>
          </cell>
        </row>
        <row r="66">
          <cell r="R66">
            <v>5.0795000000000003</v>
          </cell>
        </row>
        <row r="67">
          <cell r="R67">
            <v>5.0622999999999996</v>
          </cell>
        </row>
        <row r="68">
          <cell r="R68">
            <v>5.0407999999999999</v>
          </cell>
        </row>
        <row r="69">
          <cell r="R69">
            <v>5.0297000000000001</v>
          </cell>
        </row>
        <row r="70">
          <cell r="R70">
            <v>5.0061</v>
          </cell>
        </row>
        <row r="71">
          <cell r="R71">
            <v>4.9736000000000002</v>
          </cell>
        </row>
        <row r="72">
          <cell r="R72">
            <v>4.9576000000000002</v>
          </cell>
        </row>
        <row r="73">
          <cell r="R73">
            <v>4.9569000000000001</v>
          </cell>
        </row>
        <row r="74">
          <cell r="R74">
            <v>4.9238</v>
          </cell>
        </row>
        <row r="75">
          <cell r="R75">
            <v>4.9230999999999998</v>
          </cell>
        </row>
        <row r="76">
          <cell r="R76">
            <v>4.8959000000000001</v>
          </cell>
        </row>
        <row r="77">
          <cell r="R77">
            <v>4.8952999999999998</v>
          </cell>
        </row>
        <row r="78">
          <cell r="R78">
            <v>4.9257999999999997</v>
          </cell>
        </row>
        <row r="79">
          <cell r="R79">
            <v>4.9341999999999997</v>
          </cell>
        </row>
        <row r="80">
          <cell r="R80">
            <v>4.9335000000000004</v>
          </cell>
        </row>
        <row r="81">
          <cell r="R81">
            <v>4.9375</v>
          </cell>
        </row>
        <row r="82">
          <cell r="R82">
            <v>4.9161000000000001</v>
          </cell>
        </row>
        <row r="83">
          <cell r="R83">
            <v>4.9050000000000002</v>
          </cell>
        </row>
        <row r="84">
          <cell r="R84">
            <v>4.9134000000000002</v>
          </cell>
        </row>
        <row r="85">
          <cell r="R85">
            <v>4.8920000000000003</v>
          </cell>
        </row>
        <row r="86">
          <cell r="R86">
            <v>4.8752000000000004</v>
          </cell>
        </row>
        <row r="87">
          <cell r="R87">
            <v>4.8745000000000003</v>
          </cell>
        </row>
        <row r="88">
          <cell r="R88">
            <v>4.8635000000000002</v>
          </cell>
        </row>
        <row r="89">
          <cell r="R89">
            <v>4.8719000000000001</v>
          </cell>
        </row>
        <row r="90">
          <cell r="R90">
            <v>4.8815999999999997</v>
          </cell>
        </row>
        <row r="91">
          <cell r="R91">
            <v>4.9062999999999999</v>
          </cell>
        </row>
        <row r="92">
          <cell r="R92">
            <v>4.9057000000000004</v>
          </cell>
        </row>
        <row r="93">
          <cell r="R93">
            <v>4.9257999999999997</v>
          </cell>
        </row>
        <row r="94">
          <cell r="R94">
            <v>4.9335000000000004</v>
          </cell>
        </row>
        <row r="95">
          <cell r="R95">
            <v>4.9633000000000003</v>
          </cell>
        </row>
        <row r="96">
          <cell r="R96">
            <v>5.0095999999999998</v>
          </cell>
        </row>
        <row r="97">
          <cell r="R97">
            <v>5.0400999999999998</v>
          </cell>
        </row>
        <row r="98">
          <cell r="R98">
            <v>5.0484</v>
          </cell>
        </row>
        <row r="99">
          <cell r="R99">
            <v>5.0476999999999999</v>
          </cell>
        </row>
        <row r="100">
          <cell r="R100">
            <v>5.0830000000000002</v>
          </cell>
        </row>
        <row r="101">
          <cell r="R101">
            <v>5.0823</v>
          </cell>
        </row>
        <row r="102">
          <cell r="R102">
            <v>5.0919999999999996</v>
          </cell>
        </row>
        <row r="103">
          <cell r="R103">
            <v>5.0795000000000003</v>
          </cell>
        </row>
        <row r="104">
          <cell r="R104">
            <v>5.0995999999999997</v>
          </cell>
        </row>
        <row r="105">
          <cell r="R105">
            <v>5.1143000000000001</v>
          </cell>
        </row>
        <row r="106">
          <cell r="R106">
            <v>5.1135000000000002</v>
          </cell>
        </row>
        <row r="107">
          <cell r="R107">
            <v>5.1024000000000003</v>
          </cell>
        </row>
        <row r="108">
          <cell r="R108">
            <v>5.0899000000000001</v>
          </cell>
        </row>
        <row r="109">
          <cell r="R109">
            <v>5.0683999999999996</v>
          </cell>
        </row>
        <row r="110">
          <cell r="R110">
            <v>5.0726000000000004</v>
          </cell>
        </row>
        <row r="111">
          <cell r="R111">
            <v>5.0511999999999997</v>
          </cell>
        </row>
        <row r="112">
          <cell r="R112">
            <v>5.0505000000000004</v>
          </cell>
        </row>
        <row r="113">
          <cell r="R113">
            <v>5.0795000000000003</v>
          </cell>
        </row>
        <row r="114">
          <cell r="R114">
            <v>5.0683999999999996</v>
          </cell>
        </row>
        <row r="115">
          <cell r="R115">
            <v>5.0726000000000004</v>
          </cell>
        </row>
        <row r="116">
          <cell r="R116">
            <v>5.0926999999999998</v>
          </cell>
        </row>
        <row r="117">
          <cell r="R117">
            <v>5.0919999999999996</v>
          </cell>
        </row>
        <row r="118">
          <cell r="R118">
            <v>5.0795000000000003</v>
          </cell>
        </row>
        <row r="119">
          <cell r="R119">
            <v>5.0683999999999996</v>
          </cell>
        </row>
        <row r="120">
          <cell r="R120">
            <v>5.0830000000000002</v>
          </cell>
        </row>
        <row r="121">
          <cell r="R121">
            <v>5.0823</v>
          </cell>
        </row>
        <row r="122">
          <cell r="R122">
            <v>5.0919999999999996</v>
          </cell>
        </row>
        <row r="123">
          <cell r="R123">
            <v>5.0795000000000003</v>
          </cell>
        </row>
        <row r="124">
          <cell r="R124">
            <v>5.0476999999999999</v>
          </cell>
        </row>
        <row r="125">
          <cell r="R125">
            <v>5.0518999999999998</v>
          </cell>
        </row>
        <row r="126">
          <cell r="R126">
            <v>5.0505000000000004</v>
          </cell>
        </row>
        <row r="127">
          <cell r="R127">
            <v>5.0269000000000004</v>
          </cell>
        </row>
        <row r="128">
          <cell r="R128">
            <v>5.0269000000000004</v>
          </cell>
        </row>
        <row r="129">
          <cell r="R129">
            <v>5.0366</v>
          </cell>
        </row>
        <row r="130">
          <cell r="R130">
            <v>5.0304000000000002</v>
          </cell>
        </row>
        <row r="131">
          <cell r="R131">
            <v>5.0193000000000003</v>
          </cell>
        </row>
        <row r="132">
          <cell r="R132">
            <v>5.0171999999999999</v>
          </cell>
        </row>
        <row r="133">
          <cell r="R133">
            <v>4.9958</v>
          </cell>
        </row>
        <row r="134">
          <cell r="R134">
            <v>4.9790999999999999</v>
          </cell>
        </row>
        <row r="135">
          <cell r="R135">
            <v>4.9783999999999997</v>
          </cell>
        </row>
        <row r="136">
          <cell r="R136">
            <v>4.9672999999999998</v>
          </cell>
        </row>
        <row r="137">
          <cell r="R137">
            <v>4.9444999999999997</v>
          </cell>
        </row>
        <row r="138">
          <cell r="R138">
            <v>4.9230999999999998</v>
          </cell>
        </row>
        <row r="139">
          <cell r="R139">
            <v>4.9271000000000003</v>
          </cell>
        </row>
        <row r="140">
          <cell r="R140">
            <v>4.9264000000000001</v>
          </cell>
        </row>
        <row r="141">
          <cell r="R141">
            <v>4.9362000000000004</v>
          </cell>
        </row>
        <row r="142">
          <cell r="R142">
            <v>4.9029999999999996</v>
          </cell>
        </row>
        <row r="143">
          <cell r="R143">
            <v>4.9230999999999998</v>
          </cell>
        </row>
        <row r="144">
          <cell r="R144">
            <v>4.9478999999999997</v>
          </cell>
        </row>
        <row r="145">
          <cell r="R145">
            <v>4.9576000000000002</v>
          </cell>
        </row>
        <row r="146">
          <cell r="R146">
            <v>4.9569000000000001</v>
          </cell>
        </row>
        <row r="147">
          <cell r="R147">
            <v>4.9749999999999996</v>
          </cell>
        </row>
        <row r="148">
          <cell r="R148">
            <v>4.9736000000000002</v>
          </cell>
        </row>
        <row r="149">
          <cell r="R149">
            <v>4.968</v>
          </cell>
        </row>
        <row r="150">
          <cell r="R150">
            <v>4.9881000000000002</v>
          </cell>
        </row>
        <row r="151">
          <cell r="R151">
            <v>5.0061</v>
          </cell>
        </row>
        <row r="152">
          <cell r="R152">
            <v>5.0358999999999998</v>
          </cell>
        </row>
        <row r="153">
          <cell r="R153">
            <v>5.0407999999999999</v>
          </cell>
        </row>
        <row r="154">
          <cell r="R154">
            <v>5.0297000000000001</v>
          </cell>
        </row>
        <row r="155">
          <cell r="R155">
            <v>5.0380000000000003</v>
          </cell>
        </row>
        <row r="156">
          <cell r="R156">
            <v>5.0476999999999999</v>
          </cell>
        </row>
        <row r="157">
          <cell r="R157">
            <v>5.0726000000000004</v>
          </cell>
        </row>
        <row r="158">
          <cell r="R158">
            <v>5.0823</v>
          </cell>
        </row>
        <row r="159">
          <cell r="R159">
            <v>5.0919999999999996</v>
          </cell>
        </row>
        <row r="160">
          <cell r="R160">
            <v>5.0788000000000002</v>
          </cell>
        </row>
        <row r="161">
          <cell r="R161">
            <v>5.0773999999999999</v>
          </cell>
        </row>
        <row r="162">
          <cell r="R162">
            <v>5.1031000000000004</v>
          </cell>
        </row>
        <row r="163">
          <cell r="R163">
            <v>5.1128</v>
          </cell>
        </row>
        <row r="164">
          <cell r="R164">
            <v>5.1314000000000002</v>
          </cell>
        </row>
        <row r="165">
          <cell r="R165">
            <v>5.1203000000000003</v>
          </cell>
        </row>
        <row r="166">
          <cell r="R166">
            <v>5.1351000000000004</v>
          </cell>
        </row>
        <row r="167">
          <cell r="R167">
            <v>5.1238999999999999</v>
          </cell>
        </row>
        <row r="168">
          <cell r="R168">
            <v>5.1336000000000004</v>
          </cell>
        </row>
        <row r="169">
          <cell r="R169">
            <v>5.1211000000000002</v>
          </cell>
        </row>
        <row r="170">
          <cell r="R170">
            <v>5.1203000000000003</v>
          </cell>
        </row>
        <row r="171">
          <cell r="R171">
            <v>5.1246999999999998</v>
          </cell>
        </row>
        <row r="172">
          <cell r="R172">
            <v>5.1031000000000004</v>
          </cell>
        </row>
        <row r="173">
          <cell r="R173">
            <v>5.1128</v>
          </cell>
        </row>
        <row r="174">
          <cell r="R174">
            <v>5.1314000000000002</v>
          </cell>
        </row>
        <row r="175">
          <cell r="R175">
            <v>5.1203000000000003</v>
          </cell>
        </row>
        <row r="176">
          <cell r="R176">
            <v>5.1351000000000004</v>
          </cell>
        </row>
        <row r="177">
          <cell r="R177">
            <v>5.1447000000000003</v>
          </cell>
        </row>
        <row r="178">
          <cell r="R178">
            <v>5.1440000000000001</v>
          </cell>
        </row>
        <row r="179">
          <cell r="R179">
            <v>5.1417999999999999</v>
          </cell>
        </row>
        <row r="180">
          <cell r="R180">
            <v>5.1515000000000004</v>
          </cell>
        </row>
        <row r="181">
          <cell r="R181">
            <v>5.1558999999999999</v>
          </cell>
        </row>
        <row r="182">
          <cell r="R182">
            <v>5.1447000000000003</v>
          </cell>
        </row>
        <row r="183">
          <cell r="R183">
            <v>5.1543999999999999</v>
          </cell>
        </row>
        <row r="184">
          <cell r="R184">
            <v>5.1619000000000002</v>
          </cell>
        </row>
        <row r="185">
          <cell r="R185">
            <v>5.1604000000000001</v>
          </cell>
        </row>
        <row r="186">
          <cell r="R186">
            <v>5.1654999999999998</v>
          </cell>
        </row>
        <row r="187">
          <cell r="R187">
            <v>5.1752000000000002</v>
          </cell>
        </row>
        <row r="188">
          <cell r="R188">
            <v>5.173</v>
          </cell>
        </row>
        <row r="189">
          <cell r="R189">
            <v>5.1619000000000002</v>
          </cell>
        </row>
        <row r="190">
          <cell r="R190">
            <v>5.1039000000000003</v>
          </cell>
        </row>
        <row r="191">
          <cell r="R191">
            <v>5.1238999999999999</v>
          </cell>
        </row>
        <row r="192">
          <cell r="R192">
            <v>5.1231999999999998</v>
          </cell>
        </row>
        <row r="193">
          <cell r="R193">
            <v>5.0899000000000001</v>
          </cell>
        </row>
        <row r="194">
          <cell r="R194">
            <v>5.0788000000000002</v>
          </cell>
        </row>
        <row r="195">
          <cell r="R195">
            <v>5.1039000000000003</v>
          </cell>
        </row>
        <row r="196">
          <cell r="R196">
            <v>5.0823</v>
          </cell>
        </row>
        <row r="197">
          <cell r="R197">
            <v>5.0712000000000002</v>
          </cell>
        </row>
        <row r="198">
          <cell r="R198">
            <v>5.0795000000000003</v>
          </cell>
        </row>
        <row r="199">
          <cell r="R199">
            <v>5.0788000000000002</v>
          </cell>
        </row>
        <row r="200">
          <cell r="R200">
            <v>5.0518999999999998</v>
          </cell>
        </row>
        <row r="201">
          <cell r="R201">
            <v>5.0407999999999999</v>
          </cell>
        </row>
        <row r="202">
          <cell r="R202">
            <v>5.0297000000000001</v>
          </cell>
        </row>
        <row r="203">
          <cell r="R203">
            <v>5.0171999999999999</v>
          </cell>
        </row>
        <row r="204">
          <cell r="R204">
            <v>5.0164999999999997</v>
          </cell>
        </row>
        <row r="205">
          <cell r="R205">
            <v>5.0415000000000001</v>
          </cell>
        </row>
        <row r="206">
          <cell r="R206">
            <v>5.0304000000000002</v>
          </cell>
        </row>
        <row r="207">
          <cell r="R207">
            <v>5.0400999999999998</v>
          </cell>
        </row>
        <row r="208">
          <cell r="R208">
            <v>5.0587</v>
          </cell>
        </row>
        <row r="209">
          <cell r="R209">
            <v>5.0579999999999998</v>
          </cell>
        </row>
        <row r="210">
          <cell r="R210">
            <v>5.0415000000000001</v>
          </cell>
        </row>
        <row r="211">
          <cell r="R211">
            <v>5.0407999999999999</v>
          </cell>
        </row>
        <row r="212">
          <cell r="R212">
            <v>5.0297000000000001</v>
          </cell>
        </row>
        <row r="213">
          <cell r="R213">
            <v>5.0275999999999996</v>
          </cell>
        </row>
        <row r="214">
          <cell r="R214">
            <v>5.0269000000000004</v>
          </cell>
        </row>
        <row r="215">
          <cell r="R215">
            <v>5.0311000000000003</v>
          </cell>
        </row>
        <row r="216">
          <cell r="R216">
            <v>5.0304000000000002</v>
          </cell>
        </row>
        <row r="217">
          <cell r="R217">
            <v>5.0171999999999999</v>
          </cell>
        </row>
        <row r="218">
          <cell r="R218">
            <v>5.0157999999999996</v>
          </cell>
        </row>
        <row r="219">
          <cell r="R219">
            <v>4.9999000000000002</v>
          </cell>
        </row>
        <row r="220">
          <cell r="R220">
            <v>5.0095999999999998</v>
          </cell>
        </row>
        <row r="221">
          <cell r="R221">
            <v>5.0088999999999997</v>
          </cell>
        </row>
        <row r="222">
          <cell r="R222">
            <v>4.9964000000000004</v>
          </cell>
        </row>
        <row r="223">
          <cell r="R223">
            <v>4.9854000000000003</v>
          </cell>
        </row>
        <row r="224">
          <cell r="R224">
            <v>4.9790999999999999</v>
          </cell>
        </row>
        <row r="225">
          <cell r="R225">
            <v>4.968</v>
          </cell>
        </row>
        <row r="226">
          <cell r="R226">
            <v>4.9672999999999998</v>
          </cell>
        </row>
        <row r="227">
          <cell r="R227">
            <v>4.9653</v>
          </cell>
        </row>
        <row r="228">
          <cell r="R228">
            <v>4.9645999999999999</v>
          </cell>
        </row>
        <row r="229">
          <cell r="R229">
            <v>4.9583000000000004</v>
          </cell>
        </row>
        <row r="230">
          <cell r="R230">
            <v>4.9471999999999996</v>
          </cell>
        </row>
        <row r="231">
          <cell r="R231">
            <v>4.9257999999999997</v>
          </cell>
        </row>
        <row r="232">
          <cell r="R232">
            <v>4.9134000000000002</v>
          </cell>
        </row>
        <row r="233">
          <cell r="R233">
            <v>4.8400999999999996</v>
          </cell>
        </row>
        <row r="234">
          <cell r="R234">
            <v>4.8752000000000004</v>
          </cell>
        </row>
        <row r="235">
          <cell r="R235">
            <v>4.8745000000000003</v>
          </cell>
        </row>
        <row r="236">
          <cell r="R236">
            <v>4.8738000000000001</v>
          </cell>
        </row>
        <row r="237">
          <cell r="R237">
            <v>4.8719000000000001</v>
          </cell>
        </row>
        <row r="238">
          <cell r="R238">
            <v>4.8505000000000003</v>
          </cell>
        </row>
        <row r="239">
          <cell r="R239">
            <v>4.8752000000000004</v>
          </cell>
        </row>
        <row r="240">
          <cell r="R240">
            <v>4.8536999999999999</v>
          </cell>
        </row>
        <row r="241">
          <cell r="R241">
            <v>4.8323</v>
          </cell>
        </row>
        <row r="242">
          <cell r="R242">
            <v>4.8304</v>
          </cell>
        </row>
        <row r="243">
          <cell r="R243">
            <v>4.8090000000000002</v>
          </cell>
        </row>
        <row r="244">
          <cell r="R244">
            <v>4.8128000000000002</v>
          </cell>
        </row>
        <row r="245">
          <cell r="R245">
            <v>4.7290999999999999</v>
          </cell>
        </row>
        <row r="246">
          <cell r="R246">
            <v>4.7804000000000002</v>
          </cell>
        </row>
        <row r="247">
          <cell r="R247">
            <v>4.7992999999999997</v>
          </cell>
        </row>
        <row r="248">
          <cell r="R248">
            <v>4.8297999999999996</v>
          </cell>
        </row>
        <row r="249">
          <cell r="R249">
            <v>4.8395000000000001</v>
          </cell>
        </row>
        <row r="250">
          <cell r="R250">
            <v>4.8849</v>
          </cell>
        </row>
        <row r="251">
          <cell r="R251">
            <v>4.8841999999999999</v>
          </cell>
        </row>
        <row r="252">
          <cell r="R252">
            <v>4.8609</v>
          </cell>
        </row>
        <row r="253">
          <cell r="R253">
            <v>4.7973999999999997</v>
          </cell>
        </row>
        <row r="254">
          <cell r="R254">
            <v>4.8254000000000001</v>
          </cell>
        </row>
        <row r="255">
          <cell r="R255">
            <v>4.7310999999999996</v>
          </cell>
        </row>
        <row r="256">
          <cell r="R256">
            <v>4.7812000000000001</v>
          </cell>
        </row>
        <row r="257">
          <cell r="R257">
            <v>4.7598000000000003</v>
          </cell>
        </row>
        <row r="258">
          <cell r="R258">
            <v>4.8155999999999999</v>
          </cell>
        </row>
        <row r="259">
          <cell r="R259">
            <v>4.7836999999999996</v>
          </cell>
        </row>
        <row r="260">
          <cell r="R260">
            <v>4.7934999999999999</v>
          </cell>
        </row>
        <row r="261">
          <cell r="R261">
            <v>4.7603999999999997</v>
          </cell>
        </row>
        <row r="262">
          <cell r="R262">
            <v>4.7182000000000004</v>
          </cell>
        </row>
        <row r="263">
          <cell r="R263">
            <v>4.7218999999999998</v>
          </cell>
        </row>
        <row r="264">
          <cell r="R264">
            <v>4.6379999999999999</v>
          </cell>
        </row>
        <row r="265">
          <cell r="R265">
            <v>4.6271000000000004</v>
          </cell>
        </row>
        <row r="266">
          <cell r="R266">
            <v>4.5422000000000002</v>
          </cell>
        </row>
        <row r="267">
          <cell r="R267">
            <v>4.5209000000000001</v>
          </cell>
        </row>
        <row r="268">
          <cell r="R268">
            <v>4.6698000000000004</v>
          </cell>
        </row>
        <row r="269">
          <cell r="R269">
            <v>4.7213000000000003</v>
          </cell>
        </row>
        <row r="270">
          <cell r="R270">
            <v>4.6894999999999998</v>
          </cell>
        </row>
        <row r="271">
          <cell r="R271">
            <v>4.7084000000000001</v>
          </cell>
        </row>
        <row r="272">
          <cell r="R272">
            <v>4.7702</v>
          </cell>
        </row>
        <row r="273">
          <cell r="R273">
            <v>4.8052000000000001</v>
          </cell>
        </row>
        <row r="274">
          <cell r="R274">
            <v>4.7732999999999999</v>
          </cell>
        </row>
        <row r="275">
          <cell r="R275">
            <v>4.7622999999999998</v>
          </cell>
        </row>
        <row r="276">
          <cell r="R276">
            <v>4.8019999999999996</v>
          </cell>
        </row>
        <row r="277">
          <cell r="R277">
            <v>4.8638000000000003</v>
          </cell>
        </row>
        <row r="278">
          <cell r="R278">
            <v>4.9504000000000001</v>
          </cell>
        </row>
        <row r="279">
          <cell r="R279">
            <v>4.9372999999999996</v>
          </cell>
        </row>
        <row r="280">
          <cell r="R280">
            <v>4.9372999999999996</v>
          </cell>
        </row>
        <row r="281">
          <cell r="R281">
            <v>4.9157999999999999</v>
          </cell>
        </row>
        <row r="282">
          <cell r="R282">
            <v>4.9405999999999999</v>
          </cell>
        </row>
        <row r="283">
          <cell r="R283">
            <v>4.9398999999999997</v>
          </cell>
        </row>
        <row r="284">
          <cell r="R284">
            <v>4.9497</v>
          </cell>
        </row>
        <row r="285">
          <cell r="R285">
            <v>4.9581</v>
          </cell>
        </row>
        <row r="286">
          <cell r="R286">
            <v>4.9261999999999997</v>
          </cell>
        </row>
        <row r="287">
          <cell r="R287">
            <v>4.9614000000000003</v>
          </cell>
        </row>
        <row r="288">
          <cell r="R288">
            <v>4.9504000000000001</v>
          </cell>
        </row>
        <row r="289">
          <cell r="R289">
            <v>4.9705000000000004</v>
          </cell>
        </row>
        <row r="290">
          <cell r="R290">
            <v>4.9684999999999997</v>
          </cell>
        </row>
        <row r="291">
          <cell r="R291">
            <v>4.9885999999999999</v>
          </cell>
        </row>
        <row r="292">
          <cell r="R292">
            <v>5.0030999999999999</v>
          </cell>
        </row>
        <row r="293">
          <cell r="R293">
            <v>4.9711999999999996</v>
          </cell>
        </row>
        <row r="294">
          <cell r="R294">
            <v>4.9080000000000004</v>
          </cell>
        </row>
        <row r="295">
          <cell r="R295">
            <v>4.8436000000000003</v>
          </cell>
        </row>
        <row r="296">
          <cell r="R296">
            <v>4.8533999999999997</v>
          </cell>
        </row>
        <row r="297">
          <cell r="R297">
            <v>4.9405999999999999</v>
          </cell>
        </row>
        <row r="298">
          <cell r="R298">
            <v>4.8773999999999997</v>
          </cell>
        </row>
        <row r="299">
          <cell r="R299">
            <v>4.8768000000000002</v>
          </cell>
        </row>
        <row r="300">
          <cell r="R300">
            <v>4.8228</v>
          </cell>
        </row>
        <row r="301">
          <cell r="R301">
            <v>4.8533999999999997</v>
          </cell>
        </row>
        <row r="302">
          <cell r="R302">
            <v>4.9302000000000001</v>
          </cell>
        </row>
        <row r="303">
          <cell r="R303">
            <v>4.9398999999999997</v>
          </cell>
        </row>
        <row r="304">
          <cell r="R304">
            <v>4.7727000000000004</v>
          </cell>
        </row>
        <row r="305">
          <cell r="R305">
            <v>4.5422000000000002</v>
          </cell>
        </row>
        <row r="306">
          <cell r="R306">
            <v>4.6871</v>
          </cell>
        </row>
        <row r="307">
          <cell r="R307">
            <v>4.6281999999999996</v>
          </cell>
        </row>
        <row r="308">
          <cell r="R308">
            <v>4.0875000000000004</v>
          </cell>
        </row>
        <row r="309">
          <cell r="R309">
            <v>3.8589000000000002</v>
          </cell>
        </row>
        <row r="310">
          <cell r="R310">
            <v>3.7542</v>
          </cell>
        </row>
        <row r="311">
          <cell r="R311">
            <v>3.0926</v>
          </cell>
        </row>
        <row r="312">
          <cell r="R312">
            <v>3.6012</v>
          </cell>
        </row>
        <row r="313">
          <cell r="R313">
            <v>3.6526000000000001</v>
          </cell>
        </row>
        <row r="314">
          <cell r="R314">
            <v>3.8904000000000001</v>
          </cell>
        </row>
        <row r="315">
          <cell r="R315">
            <v>4.2209000000000003</v>
          </cell>
        </row>
        <row r="316">
          <cell r="R316">
            <v>4.5006000000000004</v>
          </cell>
        </row>
        <row r="317">
          <cell r="R317">
            <v>4.3266999999999998</v>
          </cell>
        </row>
        <row r="318">
          <cell r="R318">
            <v>4.0045000000000002</v>
          </cell>
        </row>
        <row r="319">
          <cell r="R319">
            <v>3.7968000000000002</v>
          </cell>
        </row>
        <row r="320">
          <cell r="R320">
            <v>4.1059000000000001</v>
          </cell>
        </row>
        <row r="321">
          <cell r="R321">
            <v>4.4055999999999997</v>
          </cell>
        </row>
        <row r="322">
          <cell r="R322">
            <v>4.3780999999999999</v>
          </cell>
        </row>
        <row r="323">
          <cell r="R323">
            <v>4.3048999999999999</v>
          </cell>
        </row>
        <row r="324">
          <cell r="R324">
            <v>4.0545</v>
          </cell>
        </row>
        <row r="325">
          <cell r="R325">
            <v>4.0023</v>
          </cell>
        </row>
        <row r="326">
          <cell r="R326">
            <v>4.0879000000000003</v>
          </cell>
        </row>
        <row r="327">
          <cell r="R327">
            <v>3.9941</v>
          </cell>
        </row>
        <row r="328">
          <cell r="R328">
            <v>4.0454999999999997</v>
          </cell>
        </row>
        <row r="329">
          <cell r="R329">
            <v>3.9820000000000002</v>
          </cell>
        </row>
        <row r="330">
          <cell r="R330">
            <v>4.0852000000000004</v>
          </cell>
        </row>
        <row r="331">
          <cell r="R331">
            <v>3.9944999999999999</v>
          </cell>
        </row>
        <row r="332">
          <cell r="R332">
            <v>3.9007999999999998</v>
          </cell>
        </row>
        <row r="333">
          <cell r="R333">
            <v>3.7864</v>
          </cell>
        </row>
        <row r="334">
          <cell r="R334">
            <v>3.7542</v>
          </cell>
        </row>
        <row r="335">
          <cell r="R335">
            <v>3.7951999999999999</v>
          </cell>
        </row>
        <row r="336">
          <cell r="R336">
            <v>3.7871999999999999</v>
          </cell>
        </row>
        <row r="337">
          <cell r="R337">
            <v>3.6936</v>
          </cell>
        </row>
        <row r="338">
          <cell r="R338">
            <v>3.6932</v>
          </cell>
        </row>
        <row r="339">
          <cell r="R339">
            <v>3.7955999999999999</v>
          </cell>
        </row>
        <row r="340">
          <cell r="R340">
            <v>3.8986999999999998</v>
          </cell>
        </row>
        <row r="341">
          <cell r="R341">
            <v>3.9426999999999999</v>
          </cell>
        </row>
        <row r="342">
          <cell r="R342">
            <v>3.9422999999999999</v>
          </cell>
        </row>
        <row r="343">
          <cell r="R343">
            <v>3.9315000000000002</v>
          </cell>
        </row>
        <row r="344">
          <cell r="R344">
            <v>3.9712000000000001</v>
          </cell>
        </row>
        <row r="345">
          <cell r="R345">
            <v>4.0122</v>
          </cell>
        </row>
        <row r="346">
          <cell r="R346">
            <v>4.0355999999999996</v>
          </cell>
        </row>
        <row r="347">
          <cell r="R347">
            <v>4.1077000000000004</v>
          </cell>
        </row>
        <row r="348">
          <cell r="R348">
            <v>4.1893000000000002</v>
          </cell>
        </row>
        <row r="349">
          <cell r="R349">
            <v>4.2717999999999998</v>
          </cell>
        </row>
        <row r="350">
          <cell r="R350">
            <v>4.2435999999999998</v>
          </cell>
        </row>
        <row r="351">
          <cell r="R351">
            <v>3.9941</v>
          </cell>
        </row>
        <row r="352">
          <cell r="R352">
            <v>3.8485999999999998</v>
          </cell>
        </row>
        <row r="353">
          <cell r="R353">
            <v>3.8163</v>
          </cell>
        </row>
        <row r="354">
          <cell r="R354">
            <v>3.9609000000000001</v>
          </cell>
        </row>
        <row r="355">
          <cell r="R355">
            <v>3.9738000000000002</v>
          </cell>
        </row>
        <row r="356">
          <cell r="R356">
            <v>3.8490000000000002</v>
          </cell>
        </row>
        <row r="357">
          <cell r="R357">
            <v>3.9211</v>
          </cell>
        </row>
        <row r="358">
          <cell r="R358">
            <v>3.9405999999999999</v>
          </cell>
        </row>
        <row r="359">
          <cell r="R359">
            <v>3.9609000000000001</v>
          </cell>
        </row>
        <row r="360">
          <cell r="R360">
            <v>3.9531000000000001</v>
          </cell>
        </row>
        <row r="361">
          <cell r="R361">
            <v>3.9112</v>
          </cell>
        </row>
        <row r="362">
          <cell r="R362">
            <v>3.7968000000000002</v>
          </cell>
        </row>
        <row r="363">
          <cell r="R363">
            <v>3.5990000000000002</v>
          </cell>
        </row>
        <row r="364">
          <cell r="R364">
            <v>3.7227999999999999</v>
          </cell>
        </row>
        <row r="365">
          <cell r="R365">
            <v>3.7353999999999998</v>
          </cell>
        </row>
        <row r="366">
          <cell r="R366">
            <v>3.4453</v>
          </cell>
        </row>
        <row r="367">
          <cell r="R367">
            <v>3.4036</v>
          </cell>
        </row>
        <row r="368">
          <cell r="R368">
            <v>3.2473999999999998</v>
          </cell>
        </row>
        <row r="369">
          <cell r="R369">
            <v>3.4535999999999998</v>
          </cell>
        </row>
        <row r="370">
          <cell r="R370">
            <v>3.3936000000000002</v>
          </cell>
        </row>
        <row r="371">
          <cell r="R371">
            <v>3.3001999999999998</v>
          </cell>
        </row>
        <row r="372">
          <cell r="R372">
            <v>3.4129999999999998</v>
          </cell>
        </row>
        <row r="373">
          <cell r="R373">
            <v>3.3610000000000002</v>
          </cell>
        </row>
        <row r="374">
          <cell r="R374">
            <v>3.2801999999999998</v>
          </cell>
        </row>
        <row r="375">
          <cell r="R375">
            <v>3.0834000000000001</v>
          </cell>
        </row>
        <row r="376">
          <cell r="R376">
            <v>3.2166999999999999</v>
          </cell>
        </row>
        <row r="377">
          <cell r="R377">
            <v>3.1030000000000002</v>
          </cell>
        </row>
        <row r="378">
          <cell r="R378">
            <v>3.1457999999999999</v>
          </cell>
        </row>
        <row r="379">
          <cell r="R379">
            <v>3.032</v>
          </cell>
        </row>
        <row r="380">
          <cell r="R380">
            <v>2.9594999999999998</v>
          </cell>
        </row>
        <row r="381">
          <cell r="R381">
            <v>3.1444999999999999</v>
          </cell>
        </row>
        <row r="382">
          <cell r="R382">
            <v>2.9895</v>
          </cell>
        </row>
        <row r="383">
          <cell r="R383">
            <v>3.0426000000000002</v>
          </cell>
        </row>
        <row r="384">
          <cell r="R384">
            <v>3.0527000000000002</v>
          </cell>
        </row>
        <row r="385">
          <cell r="R385">
            <v>3.073</v>
          </cell>
        </row>
        <row r="386">
          <cell r="R386">
            <v>3.0619999999999998</v>
          </cell>
        </row>
        <row r="387">
          <cell r="R387">
            <v>3.0308000000000002</v>
          </cell>
        </row>
        <row r="388">
          <cell r="R388">
            <v>2.8980999999999999</v>
          </cell>
        </row>
        <row r="389">
          <cell r="R389">
            <v>2.8565999999999998</v>
          </cell>
        </row>
        <row r="390">
          <cell r="R390">
            <v>2.8874</v>
          </cell>
        </row>
        <row r="391">
          <cell r="R391">
            <v>2.8660999999999999</v>
          </cell>
        </row>
        <row r="392">
          <cell r="R392">
            <v>2.9792000000000001</v>
          </cell>
        </row>
        <row r="393">
          <cell r="R393">
            <v>3.0323000000000002</v>
          </cell>
        </row>
        <row r="394">
          <cell r="R394">
            <v>2.8875999999999999</v>
          </cell>
        </row>
        <row r="395">
          <cell r="R395">
            <v>2.9285999999999999</v>
          </cell>
        </row>
        <row r="396">
          <cell r="R396">
            <v>2.9691000000000001</v>
          </cell>
        </row>
        <row r="397">
          <cell r="R397">
            <v>3.2780999999999998</v>
          </cell>
        </row>
        <row r="398">
          <cell r="R398">
            <v>3.3109000000000002</v>
          </cell>
        </row>
        <row r="399">
          <cell r="R399">
            <v>3.1143000000000001</v>
          </cell>
        </row>
        <row r="400">
          <cell r="R400">
            <v>3.1444999999999999</v>
          </cell>
        </row>
        <row r="401">
          <cell r="R401">
            <v>3.2368000000000001</v>
          </cell>
        </row>
        <row r="402">
          <cell r="R402">
            <v>3.2488999999999999</v>
          </cell>
        </row>
        <row r="403">
          <cell r="R403">
            <v>3.2176</v>
          </cell>
        </row>
        <row r="404">
          <cell r="R404">
            <v>3.1858</v>
          </cell>
        </row>
        <row r="405">
          <cell r="R405">
            <v>3.2370999999999999</v>
          </cell>
        </row>
        <row r="406">
          <cell r="R406">
            <v>3.2078000000000002</v>
          </cell>
        </row>
        <row r="407">
          <cell r="R407">
            <v>3.2282000000000002</v>
          </cell>
        </row>
        <row r="408">
          <cell r="R408">
            <v>3.2073</v>
          </cell>
        </row>
        <row r="409">
          <cell r="R409">
            <v>3.0929000000000002</v>
          </cell>
        </row>
        <row r="410">
          <cell r="R410">
            <v>3.1545000000000001</v>
          </cell>
        </row>
        <row r="411">
          <cell r="R411">
            <v>3.1457999999999999</v>
          </cell>
        </row>
        <row r="412">
          <cell r="R412">
            <v>3.1248999999999998</v>
          </cell>
        </row>
        <row r="413">
          <cell r="R413">
            <v>2.9904999999999999</v>
          </cell>
        </row>
        <row r="414">
          <cell r="R414">
            <v>2.8452000000000002</v>
          </cell>
        </row>
        <row r="415">
          <cell r="R415">
            <v>2.2688999999999999</v>
          </cell>
        </row>
        <row r="416">
          <cell r="R416">
            <v>2.1978</v>
          </cell>
        </row>
        <row r="417">
          <cell r="R417">
            <v>2.3620999999999999</v>
          </cell>
        </row>
        <row r="418">
          <cell r="R418">
            <v>2.2486000000000002</v>
          </cell>
        </row>
        <row r="419">
          <cell r="R419">
            <v>2.2484999999999999</v>
          </cell>
        </row>
        <row r="420">
          <cell r="R420">
            <v>2.2801999999999998</v>
          </cell>
        </row>
        <row r="421">
          <cell r="R421">
            <v>2.1463999999999999</v>
          </cell>
        </row>
        <row r="422">
          <cell r="R422">
            <v>1.9409000000000001</v>
          </cell>
        </row>
        <row r="423">
          <cell r="R423">
            <v>2.0842999999999998</v>
          </cell>
        </row>
        <row r="424">
          <cell r="R424">
            <v>2.2176999999999998</v>
          </cell>
        </row>
        <row r="425">
          <cell r="R425">
            <v>2.1568000000000001</v>
          </cell>
        </row>
        <row r="426">
          <cell r="R426">
            <v>2.0847000000000002</v>
          </cell>
        </row>
        <row r="427">
          <cell r="R427">
            <v>2.1873999999999998</v>
          </cell>
        </row>
        <row r="428">
          <cell r="R428">
            <v>2.2178</v>
          </cell>
        </row>
        <row r="429">
          <cell r="R429">
            <v>2.2484999999999999</v>
          </cell>
        </row>
        <row r="430">
          <cell r="R430">
            <v>2.2801999999999998</v>
          </cell>
        </row>
        <row r="431">
          <cell r="R431">
            <v>2.2595000000000001</v>
          </cell>
        </row>
        <row r="432">
          <cell r="R432">
            <v>2.2799</v>
          </cell>
        </row>
        <row r="433">
          <cell r="R433">
            <v>2.1867999999999999</v>
          </cell>
        </row>
        <row r="434">
          <cell r="R434">
            <v>2.2174999999999998</v>
          </cell>
        </row>
        <row r="435">
          <cell r="R435">
            <v>2.2183000000000002</v>
          </cell>
        </row>
        <row r="436">
          <cell r="R436">
            <v>2.1873999999999998</v>
          </cell>
        </row>
        <row r="437">
          <cell r="R437">
            <v>2.1869999999999998</v>
          </cell>
        </row>
        <row r="438">
          <cell r="R438">
            <v>2.1766000000000001</v>
          </cell>
        </row>
        <row r="439">
          <cell r="R439">
            <v>2.0951</v>
          </cell>
        </row>
        <row r="440">
          <cell r="R440">
            <v>1.9615</v>
          </cell>
        </row>
        <row r="441">
          <cell r="R441">
            <v>1.8997999999999999</v>
          </cell>
        </row>
        <row r="442">
          <cell r="R442">
            <v>1.8380000000000001</v>
          </cell>
        </row>
        <row r="443">
          <cell r="R443">
            <v>1.6432</v>
          </cell>
        </row>
        <row r="444">
          <cell r="R444">
            <v>1.6435999999999999</v>
          </cell>
        </row>
        <row r="445">
          <cell r="R445">
            <v>1.4898</v>
          </cell>
        </row>
        <row r="446">
          <cell r="R446">
            <v>1.3567</v>
          </cell>
        </row>
        <row r="447">
          <cell r="R447">
            <v>1.4383999999999999</v>
          </cell>
        </row>
        <row r="448">
          <cell r="R448">
            <v>1.3258000000000001</v>
          </cell>
        </row>
        <row r="449">
          <cell r="R449">
            <v>1.4694</v>
          </cell>
        </row>
        <row r="450">
          <cell r="R450">
            <v>1.4078999999999999</v>
          </cell>
        </row>
        <row r="451">
          <cell r="R451">
            <v>1.3567</v>
          </cell>
        </row>
        <row r="452">
          <cell r="R452">
            <v>1.1621999999999999</v>
          </cell>
        </row>
        <row r="453">
          <cell r="R453">
            <v>0.99870000000000003</v>
          </cell>
        </row>
        <row r="454">
          <cell r="R454">
            <v>0.87629999999999997</v>
          </cell>
        </row>
        <row r="455">
          <cell r="R455">
            <v>0.55989999999999995</v>
          </cell>
        </row>
        <row r="456">
          <cell r="R456">
            <v>0.57010000000000005</v>
          </cell>
        </row>
        <row r="457">
          <cell r="R457">
            <v>1.0702</v>
          </cell>
        </row>
        <row r="458">
          <cell r="R458">
            <v>1.2748999999999999</v>
          </cell>
        </row>
        <row r="459">
          <cell r="R459">
            <v>1.2645999999999999</v>
          </cell>
        </row>
        <row r="460">
          <cell r="R460">
            <v>1.2645999999999999</v>
          </cell>
        </row>
        <row r="461">
          <cell r="R461">
            <v>1.3668</v>
          </cell>
        </row>
        <row r="462">
          <cell r="R462">
            <v>1.3156000000000001</v>
          </cell>
        </row>
        <row r="463">
          <cell r="R463">
            <v>1.3875</v>
          </cell>
        </row>
        <row r="464">
          <cell r="R464">
            <v>1.367</v>
          </cell>
        </row>
        <row r="465">
          <cell r="R465">
            <v>1.3874</v>
          </cell>
        </row>
        <row r="466">
          <cell r="R466">
            <v>1.3668</v>
          </cell>
        </row>
        <row r="467">
          <cell r="R467">
            <v>1.3872</v>
          </cell>
        </row>
        <row r="468">
          <cell r="R468">
            <v>1.367</v>
          </cell>
        </row>
        <row r="469">
          <cell r="R469">
            <v>1.2952999999999999</v>
          </cell>
        </row>
        <row r="470">
          <cell r="R470">
            <v>1.2339</v>
          </cell>
        </row>
        <row r="471">
          <cell r="R471">
            <v>1.1826000000000001</v>
          </cell>
        </row>
        <row r="472">
          <cell r="R472">
            <v>1.0702</v>
          </cell>
        </row>
        <row r="473">
          <cell r="R473">
            <v>1.1316999999999999</v>
          </cell>
        </row>
        <row r="474">
          <cell r="R474">
            <v>1.1214999999999999</v>
          </cell>
        </row>
        <row r="475">
          <cell r="R475">
            <v>1.2747999999999999</v>
          </cell>
        </row>
        <row r="476">
          <cell r="R476">
            <v>1.3463000000000001</v>
          </cell>
        </row>
        <row r="477">
          <cell r="R477">
            <v>1.2950999999999999</v>
          </cell>
        </row>
        <row r="478">
          <cell r="R478">
            <v>1.2646999999999999</v>
          </cell>
        </row>
        <row r="479">
          <cell r="R479">
            <v>1.2135</v>
          </cell>
        </row>
        <row r="480">
          <cell r="R480">
            <v>1.2441</v>
          </cell>
        </row>
        <row r="481">
          <cell r="R481">
            <v>1.3565</v>
          </cell>
        </row>
        <row r="482">
          <cell r="R482">
            <v>1.3667</v>
          </cell>
        </row>
        <row r="483">
          <cell r="R483">
            <v>1.4592000000000001</v>
          </cell>
        </row>
        <row r="484">
          <cell r="R484">
            <v>1.3772</v>
          </cell>
        </row>
        <row r="485">
          <cell r="R485">
            <v>1.3976</v>
          </cell>
        </row>
        <row r="486">
          <cell r="R486">
            <v>1.4998</v>
          </cell>
        </row>
        <row r="487">
          <cell r="R487">
            <v>1.5919000000000001</v>
          </cell>
        </row>
        <row r="488">
          <cell r="R488">
            <v>1.6231</v>
          </cell>
        </row>
        <row r="489">
          <cell r="R489">
            <v>1.6639999999999999</v>
          </cell>
        </row>
        <row r="490">
          <cell r="R490">
            <v>1.6536999999999999</v>
          </cell>
        </row>
        <row r="491">
          <cell r="R491">
            <v>1.6841999999999999</v>
          </cell>
        </row>
        <row r="492">
          <cell r="R492">
            <v>1.7866</v>
          </cell>
        </row>
        <row r="493">
          <cell r="R493">
            <v>1.8179000000000001</v>
          </cell>
        </row>
        <row r="494">
          <cell r="R494">
            <v>1.8178000000000001</v>
          </cell>
        </row>
        <row r="495">
          <cell r="R495">
            <v>1.8280000000000001</v>
          </cell>
        </row>
        <row r="496">
          <cell r="R496">
            <v>1.8380000000000001</v>
          </cell>
        </row>
        <row r="497">
          <cell r="R497">
            <v>1.8482000000000001</v>
          </cell>
        </row>
        <row r="498">
          <cell r="R498">
            <v>1.859</v>
          </cell>
        </row>
        <row r="499">
          <cell r="R499">
            <v>1.8589</v>
          </cell>
        </row>
        <row r="500">
          <cell r="R500">
            <v>1.8588</v>
          </cell>
        </row>
        <row r="501">
          <cell r="R501">
            <v>1.8482000000000001</v>
          </cell>
        </row>
        <row r="502">
          <cell r="R502">
            <v>1.8891</v>
          </cell>
        </row>
        <row r="503">
          <cell r="R503">
            <v>1.8794</v>
          </cell>
        </row>
        <row r="504">
          <cell r="R504">
            <v>1.8997999999999999</v>
          </cell>
        </row>
        <row r="505">
          <cell r="R505">
            <v>1.879</v>
          </cell>
        </row>
        <row r="506">
          <cell r="R506">
            <v>1.8275999999999999</v>
          </cell>
        </row>
        <row r="507">
          <cell r="R507">
            <v>1.8436999999999999</v>
          </cell>
        </row>
        <row r="508">
          <cell r="R508">
            <v>1.8435999999999999</v>
          </cell>
        </row>
        <row r="509">
          <cell r="R509">
            <v>1.8434999999999999</v>
          </cell>
        </row>
        <row r="510">
          <cell r="R510">
            <v>1.833</v>
          </cell>
        </row>
        <row r="511">
          <cell r="R511">
            <v>1.8839999999999999</v>
          </cell>
        </row>
        <row r="512">
          <cell r="R512">
            <v>2.0074999999999998</v>
          </cell>
        </row>
        <row r="513">
          <cell r="R513">
            <v>1.9357</v>
          </cell>
        </row>
        <row r="514">
          <cell r="R514">
            <v>1.9867999999999999</v>
          </cell>
        </row>
        <row r="515">
          <cell r="R515">
            <v>1.966</v>
          </cell>
        </row>
        <row r="516">
          <cell r="R516">
            <v>1.9454</v>
          </cell>
        </row>
        <row r="517">
          <cell r="R517">
            <v>1.9766999999999999</v>
          </cell>
        </row>
        <row r="518">
          <cell r="R518">
            <v>1.9152</v>
          </cell>
        </row>
        <row r="519">
          <cell r="R519">
            <v>1.9049</v>
          </cell>
        </row>
        <row r="520">
          <cell r="R520">
            <v>1.8533999999999999</v>
          </cell>
        </row>
        <row r="521">
          <cell r="R521">
            <v>1.8839999999999999</v>
          </cell>
        </row>
        <row r="522">
          <cell r="R522">
            <v>1.8333999999999999</v>
          </cell>
        </row>
        <row r="523">
          <cell r="R523">
            <v>1.7924</v>
          </cell>
        </row>
        <row r="524">
          <cell r="R524">
            <v>1.7104999999999999</v>
          </cell>
        </row>
        <row r="525">
          <cell r="R525">
            <v>1.6592</v>
          </cell>
        </row>
        <row r="526">
          <cell r="R526">
            <v>1.7305999999999999</v>
          </cell>
        </row>
        <row r="527">
          <cell r="R527">
            <v>1.8641000000000001</v>
          </cell>
        </row>
        <row r="528">
          <cell r="R528">
            <v>1.8129</v>
          </cell>
        </row>
        <row r="529">
          <cell r="R529">
            <v>1.8431999999999999</v>
          </cell>
        </row>
        <row r="530">
          <cell r="R530">
            <v>1.8123</v>
          </cell>
        </row>
        <row r="531">
          <cell r="R531">
            <v>1.8539000000000001</v>
          </cell>
        </row>
        <row r="532">
          <cell r="R532">
            <v>1.7924</v>
          </cell>
        </row>
        <row r="533">
          <cell r="R533">
            <v>1.6594</v>
          </cell>
        </row>
        <row r="534">
          <cell r="R534">
            <v>1.5773999999999999</v>
          </cell>
        </row>
        <row r="535">
          <cell r="R535">
            <v>1.4548000000000001</v>
          </cell>
        </row>
        <row r="536">
          <cell r="R536">
            <v>1.3327</v>
          </cell>
        </row>
        <row r="537">
          <cell r="R537">
            <v>1.353</v>
          </cell>
        </row>
        <row r="538">
          <cell r="R538">
            <v>1.3937999999999999</v>
          </cell>
        </row>
        <row r="539">
          <cell r="R539">
            <v>1.4549000000000001</v>
          </cell>
        </row>
        <row r="540">
          <cell r="R540">
            <v>1.4241999999999999</v>
          </cell>
        </row>
        <row r="541">
          <cell r="R541">
            <v>1.5368999999999999</v>
          </cell>
        </row>
        <row r="542">
          <cell r="R542">
            <v>1.5470999999999999</v>
          </cell>
        </row>
        <row r="543">
          <cell r="R543">
            <v>1.639</v>
          </cell>
        </row>
        <row r="544">
          <cell r="R544">
            <v>1.7204999999999999</v>
          </cell>
        </row>
        <row r="545">
          <cell r="R545">
            <v>1.6898</v>
          </cell>
        </row>
        <row r="546">
          <cell r="R546">
            <v>1.7107000000000001</v>
          </cell>
        </row>
        <row r="547">
          <cell r="R547">
            <v>1.6798999999999999</v>
          </cell>
        </row>
        <row r="548">
          <cell r="R548">
            <v>1.6594</v>
          </cell>
        </row>
        <row r="549">
          <cell r="R549">
            <v>1.6592</v>
          </cell>
        </row>
        <row r="550">
          <cell r="R550">
            <v>1.6898</v>
          </cell>
        </row>
        <row r="551">
          <cell r="R551">
            <v>1.7311000000000001</v>
          </cell>
        </row>
        <row r="552">
          <cell r="R552">
            <v>1.639</v>
          </cell>
        </row>
        <row r="553">
          <cell r="R553">
            <v>1.6696</v>
          </cell>
        </row>
        <row r="554">
          <cell r="R554">
            <v>1.6898</v>
          </cell>
        </row>
        <row r="555">
          <cell r="R555">
            <v>1.8124</v>
          </cell>
        </row>
        <row r="556">
          <cell r="R556">
            <v>1.8539000000000001</v>
          </cell>
        </row>
        <row r="557">
          <cell r="R557">
            <v>1.8332999999999999</v>
          </cell>
        </row>
        <row r="558">
          <cell r="R558">
            <v>1.8536999999999999</v>
          </cell>
        </row>
        <row r="559">
          <cell r="R559">
            <v>1.833</v>
          </cell>
        </row>
        <row r="560">
          <cell r="R560">
            <v>1.7613000000000001</v>
          </cell>
        </row>
        <row r="561">
          <cell r="R561">
            <v>1.7925</v>
          </cell>
        </row>
        <row r="562">
          <cell r="R562">
            <v>1.6798999999999999</v>
          </cell>
        </row>
        <row r="563">
          <cell r="R563">
            <v>1.7104999999999999</v>
          </cell>
        </row>
        <row r="564">
          <cell r="R564">
            <v>1.6898</v>
          </cell>
        </row>
        <row r="565">
          <cell r="R565">
            <v>1.6693</v>
          </cell>
        </row>
        <row r="566">
          <cell r="R566">
            <v>1.7004999999999999</v>
          </cell>
        </row>
        <row r="567">
          <cell r="R567">
            <v>1.6698</v>
          </cell>
        </row>
        <row r="568">
          <cell r="R568">
            <v>1.7311000000000001</v>
          </cell>
        </row>
        <row r="569">
          <cell r="R569">
            <v>1.7102999999999999</v>
          </cell>
        </row>
        <row r="570">
          <cell r="R570">
            <v>1.6795</v>
          </cell>
        </row>
        <row r="571">
          <cell r="R571">
            <v>1.6798999999999999</v>
          </cell>
        </row>
        <row r="572">
          <cell r="R572">
            <v>1.6696</v>
          </cell>
        </row>
        <row r="573">
          <cell r="R573">
            <v>1.7716000000000001</v>
          </cell>
        </row>
        <row r="574">
          <cell r="R574">
            <v>1.7</v>
          </cell>
        </row>
        <row r="575">
          <cell r="R575">
            <v>1.6596</v>
          </cell>
        </row>
        <row r="576">
          <cell r="R576">
            <v>1.639</v>
          </cell>
        </row>
        <row r="577">
          <cell r="R577">
            <v>1.6083000000000001</v>
          </cell>
        </row>
        <row r="578">
          <cell r="R578">
            <v>1.4651000000000001</v>
          </cell>
        </row>
        <row r="579">
          <cell r="R579">
            <v>0.80249999999999999</v>
          </cell>
        </row>
        <row r="580">
          <cell r="R580">
            <v>0.69059999999999999</v>
          </cell>
        </row>
        <row r="581">
          <cell r="R581">
            <v>4.0599999999999997E-2</v>
          </cell>
        </row>
        <row r="582">
          <cell r="R582">
            <v>7.0999999999999994E-2</v>
          </cell>
        </row>
        <row r="583">
          <cell r="R583">
            <v>0.88390000000000002</v>
          </cell>
        </row>
        <row r="584">
          <cell r="R584">
            <v>0.83299999999999996</v>
          </cell>
        </row>
        <row r="585">
          <cell r="R585">
            <v>0.71099999999999997</v>
          </cell>
        </row>
        <row r="586">
          <cell r="R586">
            <v>0.45679999999999998</v>
          </cell>
        </row>
        <row r="587">
          <cell r="R587">
            <v>0.75170000000000003</v>
          </cell>
        </row>
        <row r="588">
          <cell r="R588">
            <v>0.84319999999999995</v>
          </cell>
        </row>
        <row r="589">
          <cell r="R589">
            <v>0.68</v>
          </cell>
        </row>
        <row r="590">
          <cell r="R590">
            <v>0.90439999999999998</v>
          </cell>
        </row>
        <row r="591">
          <cell r="R591">
            <v>0.80259999999999998</v>
          </cell>
        </row>
        <row r="592">
          <cell r="R592">
            <v>0.59909999999999997</v>
          </cell>
        </row>
        <row r="593">
          <cell r="R593">
            <v>0.46689999999999998</v>
          </cell>
        </row>
        <row r="594">
          <cell r="R594">
            <v>0.46689999999999998</v>
          </cell>
        </row>
        <row r="595">
          <cell r="R595">
            <v>0.76190000000000002</v>
          </cell>
        </row>
        <row r="596">
          <cell r="R596">
            <v>0.60929999999999995</v>
          </cell>
        </row>
        <row r="597">
          <cell r="R597">
            <v>0.51770000000000005</v>
          </cell>
        </row>
        <row r="598">
          <cell r="R598">
            <v>0.18260000000000001</v>
          </cell>
        </row>
        <row r="599">
          <cell r="R599">
            <v>0.27389999999999998</v>
          </cell>
        </row>
        <row r="600">
          <cell r="R600">
            <v>0.21299999999999999</v>
          </cell>
        </row>
        <row r="601">
          <cell r="R601">
            <v>0.42630000000000001</v>
          </cell>
        </row>
        <row r="602">
          <cell r="R602">
            <v>0.7923</v>
          </cell>
        </row>
        <row r="603">
          <cell r="R603">
            <v>1.0774999999999999</v>
          </cell>
        </row>
        <row r="604">
          <cell r="R604">
            <v>1.0673999999999999</v>
          </cell>
        </row>
        <row r="605">
          <cell r="R605">
            <v>1.0063</v>
          </cell>
        </row>
        <row r="606">
          <cell r="R606">
            <v>0.96550000000000002</v>
          </cell>
        </row>
        <row r="607">
          <cell r="R607">
            <v>0.84319999999999995</v>
          </cell>
        </row>
        <row r="608">
          <cell r="R608">
            <v>0.75160000000000005</v>
          </cell>
        </row>
        <row r="609">
          <cell r="R609">
            <v>0.75170000000000003</v>
          </cell>
        </row>
        <row r="610">
          <cell r="R610">
            <v>0.57879999999999998</v>
          </cell>
        </row>
        <row r="611">
          <cell r="R611">
            <v>0.3755</v>
          </cell>
        </row>
        <row r="612">
          <cell r="R612">
            <v>0.436</v>
          </cell>
        </row>
        <row r="613">
          <cell r="R613">
            <v>0.43640000000000001</v>
          </cell>
        </row>
        <row r="614">
          <cell r="R614">
            <v>0.47710000000000002</v>
          </cell>
        </row>
        <row r="615">
          <cell r="R615">
            <v>0.3856</v>
          </cell>
        </row>
        <row r="616">
          <cell r="R616">
            <v>0.3044</v>
          </cell>
        </row>
        <row r="617">
          <cell r="R617">
            <v>0.28410000000000002</v>
          </cell>
        </row>
        <row r="618">
          <cell r="R618">
            <v>0.2029</v>
          </cell>
        </row>
        <row r="619">
          <cell r="R619">
            <v>0.14199999999999999</v>
          </cell>
        </row>
        <row r="620">
          <cell r="R620">
            <v>0.18260000000000001</v>
          </cell>
        </row>
        <row r="621">
          <cell r="R621">
            <v>0.1318</v>
          </cell>
        </row>
        <row r="622">
          <cell r="R622">
            <v>9.1300000000000006E-2</v>
          </cell>
        </row>
        <row r="623">
          <cell r="R623">
            <v>0.1116</v>
          </cell>
        </row>
        <row r="624">
          <cell r="R624">
            <v>6.08E-2</v>
          </cell>
        </row>
        <row r="625">
          <cell r="R625">
            <v>1.52E-2</v>
          </cell>
        </row>
        <row r="626">
          <cell r="R626">
            <v>1.01E-2</v>
          </cell>
        </row>
        <row r="627">
          <cell r="R627">
            <v>1.01E-2</v>
          </cell>
        </row>
        <row r="628">
          <cell r="R628">
            <v>0.1014</v>
          </cell>
        </row>
        <row r="629">
          <cell r="R629">
            <v>4.0599999999999997E-2</v>
          </cell>
        </row>
        <row r="630">
          <cell r="R630">
            <v>4.0599999999999997E-2</v>
          </cell>
        </row>
        <row r="631">
          <cell r="R631">
            <v>4.0599999999999997E-2</v>
          </cell>
        </row>
        <row r="632">
          <cell r="R632">
            <v>5.0700000000000002E-2</v>
          </cell>
        </row>
        <row r="633">
          <cell r="R633">
            <v>1.01E-2</v>
          </cell>
        </row>
        <row r="634">
          <cell r="R634">
            <v>-4.1000000000000002E-2</v>
          </cell>
        </row>
        <row r="635">
          <cell r="R635">
            <v>1.4999999999999999E-2</v>
          </cell>
        </row>
        <row r="636">
          <cell r="R636">
            <v>-3.5000000000000003E-2</v>
          </cell>
        </row>
        <row r="637">
          <cell r="R637">
            <v>-1.4999999999999999E-2</v>
          </cell>
        </row>
        <row r="638">
          <cell r="R638">
            <v>-1.4999999999999999E-2</v>
          </cell>
        </row>
        <row r="639">
          <cell r="R639">
            <v>-5.0000000000000001E-3</v>
          </cell>
        </row>
        <row r="640">
          <cell r="R640">
            <v>5.0000000000000001E-3</v>
          </cell>
        </row>
        <row r="641">
          <cell r="R641">
            <v>-5.0000000000000001E-3</v>
          </cell>
        </row>
        <row r="642">
          <cell r="R642">
            <v>-2.5000000000000001E-2</v>
          </cell>
        </row>
        <row r="643">
          <cell r="R643">
            <v>1.01E-2</v>
          </cell>
        </row>
        <row r="644">
          <cell r="R644">
            <v>1.2E-2</v>
          </cell>
        </row>
        <row r="645">
          <cell r="R645">
            <v>1.4999999999999999E-2</v>
          </cell>
        </row>
        <row r="646">
          <cell r="R646">
            <v>1.2999999999999999E-2</v>
          </cell>
        </row>
        <row r="647">
          <cell r="R647">
            <v>5.1000000000000004E-3</v>
          </cell>
        </row>
        <row r="648">
          <cell r="R648">
            <v>-1.72E-2</v>
          </cell>
        </row>
        <row r="649">
          <cell r="R649">
            <v>-1.01E-2</v>
          </cell>
        </row>
        <row r="650">
          <cell r="R650">
            <v>6.08E-2</v>
          </cell>
        </row>
        <row r="651">
          <cell r="R651">
            <v>8.6199999999999999E-2</v>
          </cell>
        </row>
        <row r="652">
          <cell r="R652">
            <v>7.6100000000000001E-2</v>
          </cell>
        </row>
        <row r="653">
          <cell r="R653">
            <v>7.9100000000000004E-2</v>
          </cell>
        </row>
        <row r="654">
          <cell r="R654">
            <v>8.6199999999999999E-2</v>
          </cell>
        </row>
        <row r="655">
          <cell r="R655">
            <v>0.13489999999999999</v>
          </cell>
        </row>
        <row r="656">
          <cell r="R656">
            <v>9.1300000000000006E-2</v>
          </cell>
        </row>
        <row r="657">
          <cell r="R657">
            <v>7.0999999999999994E-2</v>
          </cell>
        </row>
        <row r="658">
          <cell r="R658">
            <v>5.5800000000000002E-2</v>
          </cell>
        </row>
        <row r="659">
          <cell r="R659">
            <v>5.8799999999999998E-2</v>
          </cell>
        </row>
        <row r="660">
          <cell r="R660">
            <v>0.1014</v>
          </cell>
        </row>
        <row r="661">
          <cell r="R661">
            <v>9.1300000000000006E-2</v>
          </cell>
        </row>
        <row r="662">
          <cell r="R662">
            <v>0.1014</v>
          </cell>
        </row>
        <row r="663">
          <cell r="R663">
            <v>0.1116</v>
          </cell>
        </row>
        <row r="664">
          <cell r="R664">
            <v>0.1014</v>
          </cell>
        </row>
        <row r="665">
          <cell r="R665">
            <v>0.1095</v>
          </cell>
        </row>
        <row r="666">
          <cell r="R666">
            <v>9.6299999999999997E-2</v>
          </cell>
        </row>
        <row r="667">
          <cell r="R667">
            <v>9.6299999999999997E-2</v>
          </cell>
        </row>
        <row r="668">
          <cell r="R668">
            <v>9.6299999999999997E-2</v>
          </cell>
        </row>
        <row r="669">
          <cell r="R669">
            <v>0.1298</v>
          </cell>
        </row>
        <row r="670">
          <cell r="R670">
            <v>0.17549999999999999</v>
          </cell>
        </row>
        <row r="671">
          <cell r="R671">
            <v>0.21809999999999999</v>
          </cell>
        </row>
        <row r="672">
          <cell r="R672">
            <v>0.22620000000000001</v>
          </cell>
        </row>
        <row r="673">
          <cell r="R673">
            <v>0.24349999999999999</v>
          </cell>
        </row>
        <row r="674">
          <cell r="R674">
            <v>0.3095</v>
          </cell>
        </row>
        <row r="675">
          <cell r="R675">
            <v>0.28920000000000001</v>
          </cell>
        </row>
        <row r="676">
          <cell r="R676">
            <v>0.27189999999999998</v>
          </cell>
        </row>
        <row r="677">
          <cell r="R677">
            <v>0.27389999999999998</v>
          </cell>
        </row>
        <row r="678">
          <cell r="R678">
            <v>0.27089999999999997</v>
          </cell>
        </row>
        <row r="679">
          <cell r="R679">
            <v>0.31559999999999999</v>
          </cell>
        </row>
        <row r="680">
          <cell r="R680">
            <v>0.3044</v>
          </cell>
        </row>
        <row r="681">
          <cell r="R681">
            <v>0.28920000000000001</v>
          </cell>
        </row>
        <row r="682">
          <cell r="R682">
            <v>0.28920000000000001</v>
          </cell>
        </row>
        <row r="683">
          <cell r="R683">
            <v>0.28310000000000002</v>
          </cell>
        </row>
        <row r="684">
          <cell r="R684">
            <v>0.3044</v>
          </cell>
        </row>
        <row r="685">
          <cell r="R685">
            <v>0.30030000000000001</v>
          </cell>
        </row>
        <row r="686">
          <cell r="R686">
            <v>0.26889999999999997</v>
          </cell>
        </row>
        <row r="687">
          <cell r="R687">
            <v>0.26889999999999997</v>
          </cell>
        </row>
        <row r="688">
          <cell r="R688">
            <v>0.29730000000000001</v>
          </cell>
        </row>
        <row r="689">
          <cell r="R689">
            <v>0.29730000000000001</v>
          </cell>
        </row>
        <row r="690">
          <cell r="R690">
            <v>0.26679999999999998</v>
          </cell>
        </row>
        <row r="691">
          <cell r="R691">
            <v>0.2465</v>
          </cell>
        </row>
        <row r="692">
          <cell r="R692">
            <v>0.23330000000000001</v>
          </cell>
        </row>
        <row r="693">
          <cell r="R693">
            <v>0.25359999999999999</v>
          </cell>
        </row>
        <row r="694">
          <cell r="R694">
            <v>0.24859999999999999</v>
          </cell>
        </row>
        <row r="695">
          <cell r="R695">
            <v>0.18659999999999999</v>
          </cell>
        </row>
        <row r="696">
          <cell r="R696">
            <v>0.1958</v>
          </cell>
        </row>
        <row r="697">
          <cell r="R697">
            <v>0.20080000000000001</v>
          </cell>
        </row>
        <row r="698">
          <cell r="R698">
            <v>0.23330000000000001</v>
          </cell>
        </row>
        <row r="699">
          <cell r="R699">
            <v>0.21809999999999999</v>
          </cell>
        </row>
        <row r="700">
          <cell r="R700">
            <v>0.19070000000000001</v>
          </cell>
        </row>
        <row r="701">
          <cell r="R701">
            <v>0.18770000000000001</v>
          </cell>
        </row>
        <row r="702">
          <cell r="R702">
            <v>0.22420000000000001</v>
          </cell>
        </row>
        <row r="703">
          <cell r="R703">
            <v>0.22720000000000001</v>
          </cell>
        </row>
        <row r="704">
          <cell r="R704">
            <v>0.1978</v>
          </cell>
        </row>
        <row r="705">
          <cell r="R705">
            <v>0.18559999999999999</v>
          </cell>
        </row>
        <row r="706">
          <cell r="R706">
            <v>0.20080000000000001</v>
          </cell>
        </row>
        <row r="707">
          <cell r="R707">
            <v>0.18770000000000001</v>
          </cell>
        </row>
        <row r="708">
          <cell r="R708">
            <v>0.2059</v>
          </cell>
        </row>
        <row r="709">
          <cell r="R709">
            <v>0.18260000000000001</v>
          </cell>
        </row>
        <row r="710">
          <cell r="R710">
            <v>0.14000000000000001</v>
          </cell>
        </row>
        <row r="711">
          <cell r="R711">
            <v>0.1268</v>
          </cell>
        </row>
        <row r="712">
          <cell r="R712">
            <v>0.1268</v>
          </cell>
        </row>
        <row r="713">
          <cell r="R713">
            <v>0.2009</v>
          </cell>
        </row>
        <row r="714">
          <cell r="R714">
            <v>0.1978</v>
          </cell>
        </row>
        <row r="715">
          <cell r="R715">
            <v>0.2059</v>
          </cell>
        </row>
        <row r="716">
          <cell r="R716">
            <v>0.20080000000000001</v>
          </cell>
        </row>
        <row r="717">
          <cell r="R717">
            <v>0.18559999999999999</v>
          </cell>
        </row>
        <row r="718">
          <cell r="R718">
            <v>0.19070000000000001</v>
          </cell>
        </row>
        <row r="719">
          <cell r="R719">
            <v>0.17549999999999999</v>
          </cell>
        </row>
        <row r="720">
          <cell r="R720">
            <v>0.17549999999999999</v>
          </cell>
        </row>
        <row r="721">
          <cell r="R721">
            <v>0.16739999999999999</v>
          </cell>
        </row>
        <row r="722">
          <cell r="R722">
            <v>0.15720000000000001</v>
          </cell>
        </row>
        <row r="723">
          <cell r="R723">
            <v>0.14099999999999999</v>
          </cell>
        </row>
        <row r="724">
          <cell r="R724">
            <v>0.1217</v>
          </cell>
        </row>
        <row r="725">
          <cell r="R725">
            <v>0.1298</v>
          </cell>
        </row>
        <row r="726">
          <cell r="R726">
            <v>0.1217</v>
          </cell>
        </row>
        <row r="727">
          <cell r="R727">
            <v>0.14199999999999999</v>
          </cell>
        </row>
        <row r="728">
          <cell r="R728">
            <v>0.1308</v>
          </cell>
        </row>
        <row r="729">
          <cell r="R729">
            <v>9.6299999999999997E-2</v>
          </cell>
        </row>
        <row r="730">
          <cell r="R730">
            <v>9.6299999999999997E-2</v>
          </cell>
        </row>
        <row r="731">
          <cell r="R731">
            <v>8.4199999999999997E-2</v>
          </cell>
        </row>
        <row r="732">
          <cell r="R732">
            <v>0.1166</v>
          </cell>
        </row>
        <row r="733">
          <cell r="R733">
            <v>9.1300000000000006E-2</v>
          </cell>
        </row>
        <row r="734">
          <cell r="R734">
            <v>0.12470000000000001</v>
          </cell>
        </row>
        <row r="735">
          <cell r="R735">
            <v>0.14299999999999999</v>
          </cell>
        </row>
        <row r="736">
          <cell r="R736">
            <v>0.17849999999999999</v>
          </cell>
        </row>
        <row r="737">
          <cell r="R737">
            <v>0.18260000000000001</v>
          </cell>
        </row>
        <row r="738">
          <cell r="R738">
            <v>0.17849999999999999</v>
          </cell>
        </row>
        <row r="739">
          <cell r="R739">
            <v>0.17749999999999999</v>
          </cell>
        </row>
        <row r="740">
          <cell r="R740">
            <v>0.1714</v>
          </cell>
        </row>
        <row r="741">
          <cell r="R741">
            <v>0.1603</v>
          </cell>
        </row>
        <row r="742">
          <cell r="R742">
            <v>0.18060000000000001</v>
          </cell>
        </row>
        <row r="743">
          <cell r="R743">
            <v>0.1653</v>
          </cell>
        </row>
        <row r="744">
          <cell r="R744">
            <v>0.15210000000000001</v>
          </cell>
        </row>
        <row r="745">
          <cell r="R745">
            <v>0.15620000000000001</v>
          </cell>
        </row>
        <row r="746">
          <cell r="R746">
            <v>0.15720000000000001</v>
          </cell>
        </row>
        <row r="747">
          <cell r="R747">
            <v>0.17549999999999999</v>
          </cell>
        </row>
        <row r="748">
          <cell r="R748">
            <v>0.16739999999999999</v>
          </cell>
        </row>
        <row r="749">
          <cell r="R749">
            <v>0.17549999999999999</v>
          </cell>
        </row>
        <row r="750">
          <cell r="R750">
            <v>0.1734</v>
          </cell>
        </row>
        <row r="751">
          <cell r="R751">
            <v>0.1704</v>
          </cell>
        </row>
        <row r="752">
          <cell r="R752">
            <v>0.1552</v>
          </cell>
        </row>
        <row r="753">
          <cell r="R753">
            <v>0.13289999999999999</v>
          </cell>
        </row>
        <row r="754">
          <cell r="R754">
            <v>0.1298</v>
          </cell>
        </row>
        <row r="755">
          <cell r="R755">
            <v>9.1300000000000006E-2</v>
          </cell>
        </row>
        <row r="756">
          <cell r="R756">
            <v>0.1258</v>
          </cell>
        </row>
        <row r="757">
          <cell r="R757">
            <v>0.1217</v>
          </cell>
        </row>
        <row r="758">
          <cell r="R758">
            <v>0.13689999999999999</v>
          </cell>
        </row>
        <row r="759">
          <cell r="R759">
            <v>0.17749999999999999</v>
          </cell>
        </row>
        <row r="760">
          <cell r="R760">
            <v>0.1724</v>
          </cell>
        </row>
        <row r="761">
          <cell r="R761">
            <v>0.1704</v>
          </cell>
        </row>
        <row r="762">
          <cell r="R762">
            <v>0.1724</v>
          </cell>
        </row>
        <row r="763">
          <cell r="R763">
            <v>0.1704</v>
          </cell>
        </row>
        <row r="764">
          <cell r="R764">
            <v>0.1653</v>
          </cell>
        </row>
        <row r="765">
          <cell r="R765">
            <v>0.15010000000000001</v>
          </cell>
        </row>
        <row r="766">
          <cell r="R766">
            <v>0.1633</v>
          </cell>
        </row>
        <row r="767">
          <cell r="R767">
            <v>0.1603</v>
          </cell>
        </row>
        <row r="768">
          <cell r="R768">
            <v>0.1724</v>
          </cell>
        </row>
        <row r="769">
          <cell r="R769">
            <v>0.16839999999999999</v>
          </cell>
        </row>
        <row r="770">
          <cell r="R770">
            <v>0.18260000000000001</v>
          </cell>
        </row>
        <row r="771">
          <cell r="R771">
            <v>0.19270000000000001</v>
          </cell>
        </row>
        <row r="772">
          <cell r="R772">
            <v>0.18060000000000001</v>
          </cell>
        </row>
        <row r="773">
          <cell r="R773">
            <v>0.1653</v>
          </cell>
        </row>
        <row r="774">
          <cell r="R774">
            <v>0.1724</v>
          </cell>
        </row>
        <row r="775">
          <cell r="R775">
            <v>0.17549999999999999</v>
          </cell>
        </row>
        <row r="776">
          <cell r="R776">
            <v>0.17749999999999999</v>
          </cell>
        </row>
        <row r="777">
          <cell r="R777">
            <v>0.1623</v>
          </cell>
        </row>
        <row r="778">
          <cell r="R778">
            <v>0.15620000000000001</v>
          </cell>
        </row>
        <row r="779">
          <cell r="R779">
            <v>0.15210000000000001</v>
          </cell>
        </row>
        <row r="780">
          <cell r="R780">
            <v>0.18060000000000001</v>
          </cell>
        </row>
        <row r="781">
          <cell r="R781">
            <v>0.17549999999999999</v>
          </cell>
        </row>
        <row r="782">
          <cell r="R782">
            <v>0.17549999999999999</v>
          </cell>
        </row>
        <row r="783">
          <cell r="R783">
            <v>0.16739999999999999</v>
          </cell>
        </row>
        <row r="784">
          <cell r="R784">
            <v>0.17549999999999999</v>
          </cell>
        </row>
        <row r="785">
          <cell r="R785">
            <v>0.17549999999999999</v>
          </cell>
        </row>
        <row r="786">
          <cell r="R786">
            <v>0.17549999999999999</v>
          </cell>
        </row>
        <row r="787">
          <cell r="R787">
            <v>0.1653</v>
          </cell>
        </row>
        <row r="788">
          <cell r="R788">
            <v>0.1623</v>
          </cell>
        </row>
        <row r="789">
          <cell r="R789">
            <v>0.1633</v>
          </cell>
        </row>
        <row r="790">
          <cell r="R790">
            <v>0.18160000000000001</v>
          </cell>
        </row>
        <row r="791">
          <cell r="R791">
            <v>0.18060000000000001</v>
          </cell>
        </row>
        <row r="792">
          <cell r="R792">
            <v>0.18060000000000001</v>
          </cell>
        </row>
        <row r="793">
          <cell r="R793">
            <v>0.17749999999999999</v>
          </cell>
        </row>
        <row r="794">
          <cell r="R794">
            <v>0.18559999999999999</v>
          </cell>
        </row>
        <row r="795">
          <cell r="R795">
            <v>0.18260000000000001</v>
          </cell>
        </row>
        <row r="796">
          <cell r="R796">
            <v>0.17749999999999999</v>
          </cell>
        </row>
        <row r="797">
          <cell r="R797">
            <v>0.17549999999999999</v>
          </cell>
        </row>
        <row r="798">
          <cell r="R798">
            <v>0.17549999999999999</v>
          </cell>
        </row>
        <row r="799">
          <cell r="R799">
            <v>0.1704</v>
          </cell>
        </row>
        <row r="800">
          <cell r="R800">
            <v>0.17749999999999999</v>
          </cell>
        </row>
        <row r="801">
          <cell r="R801">
            <v>0.17549999999999999</v>
          </cell>
        </row>
        <row r="802">
          <cell r="R802">
            <v>0.1653</v>
          </cell>
        </row>
        <row r="803">
          <cell r="R803">
            <v>0.1704</v>
          </cell>
        </row>
        <row r="804">
          <cell r="R804">
            <v>0.15720000000000001</v>
          </cell>
        </row>
        <row r="805">
          <cell r="R805">
            <v>0.17549999999999999</v>
          </cell>
        </row>
        <row r="806">
          <cell r="R806">
            <v>0.1704</v>
          </cell>
        </row>
        <row r="807">
          <cell r="R807">
            <v>0.16739999999999999</v>
          </cell>
        </row>
        <row r="808">
          <cell r="R808">
            <v>0.1663</v>
          </cell>
        </row>
        <row r="809">
          <cell r="R809">
            <v>0.16739999999999999</v>
          </cell>
        </row>
        <row r="810">
          <cell r="R810">
            <v>0.17749999999999999</v>
          </cell>
        </row>
        <row r="811">
          <cell r="R811">
            <v>0.15720000000000001</v>
          </cell>
        </row>
        <row r="812">
          <cell r="R812">
            <v>0.15210000000000001</v>
          </cell>
        </row>
        <row r="813">
          <cell r="R813">
            <v>0.15620000000000001</v>
          </cell>
        </row>
        <row r="814">
          <cell r="R814">
            <v>0.15210000000000001</v>
          </cell>
        </row>
        <row r="815">
          <cell r="R815">
            <v>0.1552</v>
          </cell>
        </row>
        <row r="816">
          <cell r="R816">
            <v>0.14499999999999999</v>
          </cell>
        </row>
        <row r="817">
          <cell r="R817">
            <v>0.14000000000000001</v>
          </cell>
        </row>
        <row r="818">
          <cell r="R818">
            <v>0.13689999999999999</v>
          </cell>
        </row>
        <row r="819">
          <cell r="R819">
            <v>0.1268</v>
          </cell>
        </row>
        <row r="820">
          <cell r="R820">
            <v>0.1288</v>
          </cell>
        </row>
        <row r="821">
          <cell r="R821">
            <v>0.1288</v>
          </cell>
        </row>
        <row r="822">
          <cell r="R822">
            <v>0.1217</v>
          </cell>
        </row>
        <row r="823">
          <cell r="R823">
            <v>0.1258</v>
          </cell>
        </row>
        <row r="824">
          <cell r="R824">
            <v>0.1217</v>
          </cell>
        </row>
        <row r="825">
          <cell r="R825">
            <v>0.13489999999999999</v>
          </cell>
        </row>
        <row r="826">
          <cell r="R826">
            <v>0.13689999999999999</v>
          </cell>
        </row>
        <row r="827">
          <cell r="R827">
            <v>0.13489999999999999</v>
          </cell>
        </row>
        <row r="828">
          <cell r="R828">
            <v>0.1298</v>
          </cell>
        </row>
        <row r="829">
          <cell r="R829">
            <v>0.12470000000000001</v>
          </cell>
        </row>
        <row r="830">
          <cell r="R830">
            <v>0.1014</v>
          </cell>
        </row>
        <row r="831">
          <cell r="R831">
            <v>8.72E-2</v>
          </cell>
        </row>
        <row r="832">
          <cell r="R832">
            <v>7.9100000000000004E-2</v>
          </cell>
        </row>
        <row r="833">
          <cell r="R833">
            <v>8.4199999999999997E-2</v>
          </cell>
        </row>
        <row r="834">
          <cell r="R834">
            <v>9.74E-2</v>
          </cell>
        </row>
        <row r="835">
          <cell r="R835">
            <v>9.1300000000000006E-2</v>
          </cell>
        </row>
        <row r="836">
          <cell r="R836">
            <v>8.9200000000000002E-2</v>
          </cell>
        </row>
        <row r="837">
          <cell r="R837">
            <v>9.6299999999999997E-2</v>
          </cell>
        </row>
        <row r="838">
          <cell r="R838">
            <v>8.6199999999999999E-2</v>
          </cell>
        </row>
        <row r="839">
          <cell r="R839">
            <v>0.1207</v>
          </cell>
        </row>
        <row r="840">
          <cell r="R840">
            <v>0.1075</v>
          </cell>
        </row>
        <row r="841">
          <cell r="R841">
            <v>9.4299999999999995E-2</v>
          </cell>
        </row>
        <row r="842">
          <cell r="R842">
            <v>8.8200000000000001E-2</v>
          </cell>
        </row>
        <row r="843">
          <cell r="R843">
            <v>8.8200000000000001E-2</v>
          </cell>
        </row>
        <row r="844">
          <cell r="R844">
            <v>6.9000000000000006E-2</v>
          </cell>
        </row>
        <row r="845">
          <cell r="R845">
            <v>5.7799999999999997E-2</v>
          </cell>
        </row>
        <row r="846">
          <cell r="R846">
            <v>5.7799999999999997E-2</v>
          </cell>
        </row>
        <row r="847">
          <cell r="R847">
            <v>6.3899999999999998E-2</v>
          </cell>
        </row>
        <row r="848">
          <cell r="R848">
            <v>5.8799999999999998E-2</v>
          </cell>
        </row>
        <row r="849">
          <cell r="R849">
            <v>6.59E-2</v>
          </cell>
        </row>
        <row r="850">
          <cell r="R850">
            <v>5.2699999999999997E-2</v>
          </cell>
        </row>
        <row r="851">
          <cell r="R851">
            <v>5.6800000000000003E-2</v>
          </cell>
        </row>
        <row r="852">
          <cell r="R852">
            <v>6.08E-2</v>
          </cell>
        </row>
        <row r="853">
          <cell r="R853">
            <v>7.4999999999999997E-2</v>
          </cell>
        </row>
        <row r="854">
          <cell r="R854">
            <v>6.3899999999999998E-2</v>
          </cell>
        </row>
        <row r="855">
          <cell r="R855">
            <v>4.36E-2</v>
          </cell>
        </row>
        <row r="856">
          <cell r="R856">
            <v>5.0700000000000002E-2</v>
          </cell>
        </row>
        <row r="857">
          <cell r="R857">
            <v>4.9700000000000001E-2</v>
          </cell>
        </row>
        <row r="858">
          <cell r="R858">
            <v>7.0999999999999994E-2</v>
          </cell>
        </row>
        <row r="859">
          <cell r="R859">
            <v>5.8799999999999998E-2</v>
          </cell>
        </row>
        <row r="860">
          <cell r="R860">
            <v>4.7699999999999999E-2</v>
          </cell>
        </row>
        <row r="861">
          <cell r="R861">
            <v>4.4600000000000001E-2</v>
          </cell>
        </row>
        <row r="862">
          <cell r="R862">
            <v>3.85E-2</v>
          </cell>
        </row>
        <row r="863">
          <cell r="R863">
            <v>4.0599999999999997E-2</v>
          </cell>
        </row>
        <row r="864">
          <cell r="R864">
            <v>4.36E-2</v>
          </cell>
        </row>
        <row r="865">
          <cell r="R865">
            <v>3.3500000000000002E-2</v>
          </cell>
        </row>
        <row r="866">
          <cell r="R866">
            <v>4.1599999999999998E-2</v>
          </cell>
        </row>
        <row r="867">
          <cell r="R867">
            <v>4.36E-2</v>
          </cell>
        </row>
        <row r="868">
          <cell r="R868">
            <v>5.7799999999999997E-2</v>
          </cell>
        </row>
        <row r="869">
          <cell r="R869">
            <v>5.0700000000000002E-2</v>
          </cell>
        </row>
        <row r="870">
          <cell r="R870">
            <v>5.1700000000000003E-2</v>
          </cell>
        </row>
        <row r="871">
          <cell r="R871">
            <v>5.5800000000000002E-2</v>
          </cell>
        </row>
        <row r="872">
          <cell r="R872">
            <v>5.3699999999999998E-2</v>
          </cell>
        </row>
        <row r="873">
          <cell r="R873">
            <v>2.0299999999999999E-2</v>
          </cell>
        </row>
        <row r="874">
          <cell r="R874">
            <v>5.1000000000000004E-3</v>
          </cell>
        </row>
        <row r="875">
          <cell r="R875">
            <v>5.1000000000000004E-3</v>
          </cell>
        </row>
        <row r="876">
          <cell r="R876">
            <v>1.01E-2</v>
          </cell>
        </row>
        <row r="877">
          <cell r="R877">
            <v>3.04E-2</v>
          </cell>
        </row>
        <row r="878">
          <cell r="R878">
            <v>3.4500000000000003E-2</v>
          </cell>
        </row>
        <row r="879">
          <cell r="R879">
            <v>1.52E-2</v>
          </cell>
        </row>
        <row r="880">
          <cell r="R880">
            <v>4.6600000000000003E-2</v>
          </cell>
        </row>
        <row r="881">
          <cell r="R881">
            <v>4.0599999999999997E-2</v>
          </cell>
        </row>
        <row r="882">
          <cell r="R882">
            <v>3.85E-2</v>
          </cell>
        </row>
        <row r="883">
          <cell r="R883">
            <v>3.6499999999999998E-2</v>
          </cell>
        </row>
        <row r="884">
          <cell r="R884">
            <v>3.85E-2</v>
          </cell>
        </row>
        <row r="885">
          <cell r="R885">
            <v>1.52E-2</v>
          </cell>
        </row>
        <row r="886">
          <cell r="R886">
            <v>2.0299999999999999E-2</v>
          </cell>
        </row>
        <row r="887">
          <cell r="R887">
            <v>2.0299999999999999E-2</v>
          </cell>
        </row>
        <row r="888">
          <cell r="R888">
            <v>2.0299999999999999E-2</v>
          </cell>
        </row>
        <row r="889">
          <cell r="R889">
            <v>2.0299999999999999E-2</v>
          </cell>
        </row>
        <row r="890">
          <cell r="R890">
            <v>2.0299999999999999E-2</v>
          </cell>
        </row>
        <row r="891">
          <cell r="R891">
            <v>4.0599999999999997E-2</v>
          </cell>
        </row>
        <row r="892">
          <cell r="R892">
            <v>3.3500000000000002E-2</v>
          </cell>
        </row>
        <row r="893">
          <cell r="R893">
            <v>3.6499999999999998E-2</v>
          </cell>
        </row>
        <row r="894">
          <cell r="R894">
            <v>3.6499999999999998E-2</v>
          </cell>
        </row>
        <row r="895">
          <cell r="R895">
            <v>4.1599999999999998E-2</v>
          </cell>
        </row>
        <row r="896">
          <cell r="R896">
            <v>7.0000000000000007E-2</v>
          </cell>
        </row>
        <row r="897">
          <cell r="R897">
            <v>5.3699999999999998E-2</v>
          </cell>
        </row>
        <row r="898">
          <cell r="R898">
            <v>3.95E-2</v>
          </cell>
        </row>
        <row r="899">
          <cell r="R899">
            <v>5.5800000000000002E-2</v>
          </cell>
        </row>
        <row r="900">
          <cell r="R900">
            <v>8.2100000000000006E-2</v>
          </cell>
        </row>
        <row r="901">
          <cell r="R901">
            <v>4.0599999999999997E-2</v>
          </cell>
        </row>
        <row r="902">
          <cell r="R902">
            <v>4.7699999999999999E-2</v>
          </cell>
        </row>
        <row r="903">
          <cell r="R903">
            <v>5.4800000000000001E-2</v>
          </cell>
        </row>
        <row r="904">
          <cell r="R904">
            <v>6.08E-2</v>
          </cell>
        </row>
        <row r="905">
          <cell r="R905">
            <v>4.87E-2</v>
          </cell>
        </row>
        <row r="906">
          <cell r="R906">
            <v>4.36E-2</v>
          </cell>
        </row>
        <row r="907">
          <cell r="R907">
            <v>3.95E-2</v>
          </cell>
        </row>
        <row r="908">
          <cell r="R908">
            <v>2.0299999999999999E-2</v>
          </cell>
        </row>
        <row r="909">
          <cell r="R909">
            <v>3.85E-2</v>
          </cell>
        </row>
        <row r="910">
          <cell r="R910">
            <v>4.87E-2</v>
          </cell>
        </row>
        <row r="911">
          <cell r="R911">
            <v>5.0700000000000002E-2</v>
          </cell>
        </row>
        <row r="912">
          <cell r="R912">
            <v>5.1700000000000003E-2</v>
          </cell>
        </row>
        <row r="913">
          <cell r="R913">
            <v>4.36E-2</v>
          </cell>
        </row>
        <row r="914">
          <cell r="R914">
            <v>4.5600000000000002E-2</v>
          </cell>
        </row>
        <row r="915">
          <cell r="R915">
            <v>3.85E-2</v>
          </cell>
        </row>
        <row r="916">
          <cell r="R916">
            <v>4.36E-2</v>
          </cell>
        </row>
        <row r="917">
          <cell r="R917">
            <v>4.36E-2</v>
          </cell>
        </row>
        <row r="918">
          <cell r="R918">
            <v>6.08E-2</v>
          </cell>
        </row>
        <row r="919">
          <cell r="R919">
            <v>6.9000000000000006E-2</v>
          </cell>
        </row>
        <row r="920">
          <cell r="R920">
            <v>6.9000000000000006E-2</v>
          </cell>
        </row>
        <row r="921">
          <cell r="R921">
            <v>6.9000000000000006E-2</v>
          </cell>
        </row>
        <row r="922">
          <cell r="R922">
            <v>8.4199999999999997E-2</v>
          </cell>
        </row>
        <row r="923">
          <cell r="R923">
            <v>8.72E-2</v>
          </cell>
        </row>
        <row r="924">
          <cell r="R924">
            <v>8.72E-2</v>
          </cell>
        </row>
        <row r="925">
          <cell r="R925">
            <v>8.4199999999999997E-2</v>
          </cell>
        </row>
        <row r="926">
          <cell r="R926">
            <v>8.5199999999999998E-2</v>
          </cell>
        </row>
        <row r="927">
          <cell r="R927">
            <v>8.9200000000000002E-2</v>
          </cell>
        </row>
        <row r="928">
          <cell r="R928">
            <v>9.6299999999999997E-2</v>
          </cell>
        </row>
        <row r="929">
          <cell r="R929">
            <v>9.9400000000000002E-2</v>
          </cell>
        </row>
        <row r="930">
          <cell r="R930">
            <v>9.3299999999999994E-2</v>
          </cell>
        </row>
        <row r="931">
          <cell r="R931">
            <v>8.72E-2</v>
          </cell>
        </row>
        <row r="932">
          <cell r="R932">
            <v>8.6199999999999999E-2</v>
          </cell>
        </row>
        <row r="933">
          <cell r="R933">
            <v>8.72E-2</v>
          </cell>
        </row>
        <row r="934">
          <cell r="R934">
            <v>0.1065</v>
          </cell>
        </row>
        <row r="935">
          <cell r="R935">
            <v>9.4299999999999995E-2</v>
          </cell>
        </row>
        <row r="936">
          <cell r="R936">
            <v>8.4199999999999997E-2</v>
          </cell>
        </row>
        <row r="937">
          <cell r="R937">
            <v>0.1045</v>
          </cell>
        </row>
        <row r="938">
          <cell r="R938">
            <v>0.1095</v>
          </cell>
        </row>
        <row r="939">
          <cell r="R939">
            <v>0.11459999999999999</v>
          </cell>
        </row>
        <row r="940">
          <cell r="R940">
            <v>0.11459999999999999</v>
          </cell>
        </row>
        <row r="941">
          <cell r="R941">
            <v>0.1227</v>
          </cell>
        </row>
        <row r="942">
          <cell r="R942">
            <v>0.1197</v>
          </cell>
        </row>
        <row r="943">
          <cell r="R943">
            <v>0.13489999999999999</v>
          </cell>
        </row>
        <row r="944">
          <cell r="R944">
            <v>0.13489999999999999</v>
          </cell>
        </row>
        <row r="945">
          <cell r="R945">
            <v>0.14299999999999999</v>
          </cell>
        </row>
        <row r="946">
          <cell r="R946">
            <v>0.14499999999999999</v>
          </cell>
        </row>
        <row r="947">
          <cell r="R947">
            <v>0.14499999999999999</v>
          </cell>
        </row>
        <row r="948">
          <cell r="R948">
            <v>0.14499999999999999</v>
          </cell>
        </row>
        <row r="949">
          <cell r="R949">
            <v>0.14499999999999999</v>
          </cell>
        </row>
        <row r="950">
          <cell r="R950">
            <v>0.14199999999999999</v>
          </cell>
        </row>
        <row r="951">
          <cell r="R951">
            <v>0.14499999999999999</v>
          </cell>
        </row>
        <row r="952">
          <cell r="R952">
            <v>0.1552</v>
          </cell>
        </row>
        <row r="953">
          <cell r="R953">
            <v>0.14710000000000001</v>
          </cell>
        </row>
        <row r="954">
          <cell r="R954">
            <v>0.14499999999999999</v>
          </cell>
        </row>
        <row r="955">
          <cell r="R955">
            <v>0.14399999999999999</v>
          </cell>
        </row>
        <row r="956">
          <cell r="R956">
            <v>0.13689999999999999</v>
          </cell>
        </row>
        <row r="957">
          <cell r="R957">
            <v>0.12470000000000001</v>
          </cell>
        </row>
        <row r="958">
          <cell r="R958">
            <v>0.13289999999999999</v>
          </cell>
        </row>
        <row r="959">
          <cell r="R959">
            <v>0.1298</v>
          </cell>
        </row>
        <row r="960">
          <cell r="R960">
            <v>0.13489999999999999</v>
          </cell>
        </row>
        <row r="961">
          <cell r="R961">
            <v>0.1258</v>
          </cell>
        </row>
        <row r="962">
          <cell r="R962">
            <v>0.14499999999999999</v>
          </cell>
        </row>
        <row r="963">
          <cell r="R963">
            <v>0.15010000000000001</v>
          </cell>
        </row>
        <row r="964">
          <cell r="R964">
            <v>0.15210000000000001</v>
          </cell>
        </row>
        <row r="965">
          <cell r="R965">
            <v>0.1603</v>
          </cell>
        </row>
        <row r="966">
          <cell r="R966">
            <v>0.1633</v>
          </cell>
        </row>
        <row r="967">
          <cell r="R967">
            <v>0.1603</v>
          </cell>
        </row>
        <row r="968">
          <cell r="R968">
            <v>0.1552</v>
          </cell>
        </row>
        <row r="969">
          <cell r="R969">
            <v>0.14710000000000001</v>
          </cell>
        </row>
        <row r="970">
          <cell r="R970">
            <v>0.13489999999999999</v>
          </cell>
        </row>
        <row r="971">
          <cell r="R971">
            <v>0.14499999999999999</v>
          </cell>
        </row>
        <row r="972">
          <cell r="R972">
            <v>0.15010000000000001</v>
          </cell>
        </row>
        <row r="973">
          <cell r="R973">
            <v>0.15010000000000001</v>
          </cell>
        </row>
        <row r="974">
          <cell r="R974">
            <v>0.15110000000000001</v>
          </cell>
        </row>
        <row r="975">
          <cell r="R975">
            <v>0.14610000000000001</v>
          </cell>
        </row>
        <row r="976">
          <cell r="R976">
            <v>0.14099999999999999</v>
          </cell>
        </row>
        <row r="977">
          <cell r="R977">
            <v>0.14499999999999999</v>
          </cell>
        </row>
        <row r="978">
          <cell r="R978">
            <v>0.15010000000000001</v>
          </cell>
        </row>
        <row r="979">
          <cell r="R979">
            <v>0.15010000000000001</v>
          </cell>
        </row>
        <row r="980">
          <cell r="R980">
            <v>0.15010000000000001</v>
          </cell>
        </row>
        <row r="981">
          <cell r="R981">
            <v>0.14000000000000001</v>
          </cell>
        </row>
        <row r="982">
          <cell r="R982">
            <v>0.15210000000000001</v>
          </cell>
        </row>
        <row r="983">
          <cell r="R983">
            <v>0.15210000000000001</v>
          </cell>
        </row>
        <row r="984">
          <cell r="R984">
            <v>0.1542</v>
          </cell>
        </row>
        <row r="985">
          <cell r="R985">
            <v>0.1603</v>
          </cell>
        </row>
        <row r="986">
          <cell r="R986">
            <v>0.15620000000000001</v>
          </cell>
        </row>
        <row r="987">
          <cell r="R987">
            <v>0.14610000000000001</v>
          </cell>
        </row>
        <row r="988">
          <cell r="R988">
            <v>0.1045</v>
          </cell>
        </row>
        <row r="989">
          <cell r="R989">
            <v>0.1197</v>
          </cell>
        </row>
        <row r="990">
          <cell r="R990">
            <v>0.14499999999999999</v>
          </cell>
        </row>
        <row r="991">
          <cell r="R991">
            <v>0.14710000000000001</v>
          </cell>
        </row>
        <row r="992">
          <cell r="R992">
            <v>0.15010000000000001</v>
          </cell>
        </row>
        <row r="993">
          <cell r="R993">
            <v>0.1552</v>
          </cell>
        </row>
        <row r="994">
          <cell r="R994">
            <v>0.14499999999999999</v>
          </cell>
        </row>
        <row r="995">
          <cell r="R995">
            <v>0.15110000000000001</v>
          </cell>
        </row>
        <row r="996">
          <cell r="R996">
            <v>0.1603</v>
          </cell>
        </row>
        <row r="997">
          <cell r="R997">
            <v>0.1623</v>
          </cell>
        </row>
        <row r="998">
          <cell r="R998">
            <v>0.1552</v>
          </cell>
        </row>
        <row r="999">
          <cell r="R999">
            <v>0.15210000000000001</v>
          </cell>
        </row>
        <row r="1000">
          <cell r="R1000">
            <v>0.14499999999999999</v>
          </cell>
        </row>
        <row r="1001">
          <cell r="R1001">
            <v>0.1532</v>
          </cell>
        </row>
        <row r="1002">
          <cell r="R1002">
            <v>0.1603</v>
          </cell>
        </row>
        <row r="1003">
          <cell r="R1003">
            <v>0.1603</v>
          </cell>
        </row>
        <row r="1004">
          <cell r="R1004">
            <v>0.1552</v>
          </cell>
        </row>
        <row r="1005">
          <cell r="R1005">
            <v>0.14599999999999999</v>
          </cell>
        </row>
        <row r="1006">
          <cell r="R1006">
            <v>0.14000000000000001</v>
          </cell>
        </row>
        <row r="1007">
          <cell r="R1007">
            <v>0.13489999999999999</v>
          </cell>
        </row>
        <row r="1008">
          <cell r="R1008">
            <v>0.1207</v>
          </cell>
        </row>
        <row r="1009">
          <cell r="R1009">
            <v>0.1065</v>
          </cell>
        </row>
        <row r="1010">
          <cell r="R1010">
            <v>0.1065</v>
          </cell>
        </row>
        <row r="1011">
          <cell r="R1011">
            <v>9.0300000000000005E-2</v>
          </cell>
        </row>
        <row r="1012">
          <cell r="R1012">
            <v>8.0100000000000005E-2</v>
          </cell>
        </row>
        <row r="1013">
          <cell r="R1013">
            <v>6.9000000000000006E-2</v>
          </cell>
        </row>
        <row r="1014">
          <cell r="R1014">
            <v>5.0700000000000002E-2</v>
          </cell>
        </row>
        <row r="1015">
          <cell r="R1015">
            <v>7.0999999999999994E-2</v>
          </cell>
        </row>
        <row r="1016">
          <cell r="R1016">
            <v>8.9200000000000002E-2</v>
          </cell>
        </row>
        <row r="1017">
          <cell r="R1017">
            <v>8.72E-2</v>
          </cell>
        </row>
        <row r="1018">
          <cell r="R1018">
            <v>9.4299999999999995E-2</v>
          </cell>
        </row>
        <row r="1019">
          <cell r="R1019">
            <v>0.1075</v>
          </cell>
        </row>
        <row r="1020">
          <cell r="R1020">
            <v>0.11260000000000001</v>
          </cell>
        </row>
        <row r="1021">
          <cell r="R1021">
            <v>0.1197</v>
          </cell>
        </row>
        <row r="1022">
          <cell r="R1022">
            <v>0.1207</v>
          </cell>
        </row>
        <row r="1023">
          <cell r="R1023">
            <v>0.1268</v>
          </cell>
        </row>
        <row r="1024">
          <cell r="R1024">
            <v>0.13489999999999999</v>
          </cell>
        </row>
        <row r="1025">
          <cell r="R1025">
            <v>0.13689999999999999</v>
          </cell>
        </row>
        <row r="1026">
          <cell r="R1026">
            <v>0.1704</v>
          </cell>
        </row>
        <row r="1027">
          <cell r="R1027">
            <v>0.1653</v>
          </cell>
        </row>
        <row r="1028">
          <cell r="R1028">
            <v>0.1603</v>
          </cell>
        </row>
        <row r="1029">
          <cell r="R1029">
            <v>0.1603</v>
          </cell>
        </row>
        <row r="1030">
          <cell r="R1030">
            <v>0.14710000000000001</v>
          </cell>
        </row>
        <row r="1031">
          <cell r="R1031">
            <v>0.14499999999999999</v>
          </cell>
        </row>
        <row r="1032">
          <cell r="R1032">
            <v>0.14499999999999999</v>
          </cell>
        </row>
        <row r="1033">
          <cell r="R1033">
            <v>0.13689999999999999</v>
          </cell>
        </row>
        <row r="1034">
          <cell r="R1034">
            <v>0.14199999999999999</v>
          </cell>
        </row>
        <row r="1035">
          <cell r="R1035">
            <v>0.14499999999999999</v>
          </cell>
        </row>
        <row r="1036">
          <cell r="R1036">
            <v>0.14710000000000001</v>
          </cell>
        </row>
        <row r="1037">
          <cell r="R1037">
            <v>0.14499999999999999</v>
          </cell>
        </row>
        <row r="1038">
          <cell r="R1038">
            <v>0.14710000000000001</v>
          </cell>
        </row>
        <row r="1039">
          <cell r="R1039">
            <v>0.14499999999999999</v>
          </cell>
        </row>
        <row r="1040">
          <cell r="R1040">
            <v>0.15010000000000001</v>
          </cell>
        </row>
        <row r="1041">
          <cell r="R1041">
            <v>0.14499999999999999</v>
          </cell>
        </row>
        <row r="1042">
          <cell r="R1042">
            <v>0.14499999999999999</v>
          </cell>
        </row>
        <row r="1043">
          <cell r="R1043">
            <v>0.15210000000000001</v>
          </cell>
        </row>
        <row r="1044">
          <cell r="R1044">
            <v>0.14199999999999999</v>
          </cell>
        </row>
        <row r="1045">
          <cell r="R1045">
            <v>0.14610000000000001</v>
          </cell>
        </row>
        <row r="1046">
          <cell r="R1046">
            <v>0.14499999999999999</v>
          </cell>
        </row>
        <row r="1047">
          <cell r="R1047">
            <v>0.14000000000000001</v>
          </cell>
        </row>
        <row r="1048">
          <cell r="R1048">
            <v>0.14000000000000001</v>
          </cell>
        </row>
        <row r="1049">
          <cell r="R1049">
            <v>0.13589999999999999</v>
          </cell>
        </row>
        <row r="1050">
          <cell r="R1050">
            <v>0.14499999999999999</v>
          </cell>
        </row>
        <row r="1051">
          <cell r="R1051">
            <v>0.14000000000000001</v>
          </cell>
        </row>
        <row r="1052">
          <cell r="R1052">
            <v>0.13689999999999999</v>
          </cell>
        </row>
        <row r="1053">
          <cell r="R1053">
            <v>0.13689999999999999</v>
          </cell>
        </row>
        <row r="1054">
          <cell r="R1054">
            <v>0.14000000000000001</v>
          </cell>
        </row>
        <row r="1055">
          <cell r="R1055">
            <v>0.14499999999999999</v>
          </cell>
        </row>
        <row r="1056">
          <cell r="R1056">
            <v>0.14710000000000001</v>
          </cell>
        </row>
        <row r="1057">
          <cell r="R1057">
            <v>0.14710000000000001</v>
          </cell>
        </row>
        <row r="1058">
          <cell r="R1058">
            <v>0.15010000000000001</v>
          </cell>
        </row>
        <row r="1059">
          <cell r="R1059">
            <v>0.14810000000000001</v>
          </cell>
        </row>
        <row r="1060">
          <cell r="R1060">
            <v>0.15010000000000001</v>
          </cell>
        </row>
        <row r="1061">
          <cell r="R1061">
            <v>0.14499999999999999</v>
          </cell>
        </row>
        <row r="1062">
          <cell r="R1062">
            <v>0.14499999999999999</v>
          </cell>
        </row>
        <row r="1063">
          <cell r="R1063">
            <v>0.15010000000000001</v>
          </cell>
        </row>
        <row r="1064">
          <cell r="R1064">
            <v>0.14499999999999999</v>
          </cell>
        </row>
        <row r="1065">
          <cell r="R1065">
            <v>0.15010000000000001</v>
          </cell>
        </row>
        <row r="1066">
          <cell r="R1066">
            <v>0.14499999999999999</v>
          </cell>
        </row>
        <row r="1067">
          <cell r="R1067">
            <v>0.13789999999999999</v>
          </cell>
        </row>
        <row r="1068">
          <cell r="R1068">
            <v>0.1298</v>
          </cell>
        </row>
        <row r="1069">
          <cell r="R1069">
            <v>0.1268</v>
          </cell>
        </row>
        <row r="1070">
          <cell r="R1070">
            <v>0.1298</v>
          </cell>
        </row>
        <row r="1071">
          <cell r="R1071">
            <v>0.1278</v>
          </cell>
        </row>
        <row r="1072">
          <cell r="R1072">
            <v>0.12470000000000001</v>
          </cell>
        </row>
        <row r="1073">
          <cell r="R1073">
            <v>0.12470000000000001</v>
          </cell>
        </row>
        <row r="1074">
          <cell r="R1074">
            <v>0.12470000000000001</v>
          </cell>
        </row>
        <row r="1075">
          <cell r="R1075">
            <v>0.13489999999999999</v>
          </cell>
        </row>
        <row r="1076">
          <cell r="R1076">
            <v>0.1318</v>
          </cell>
        </row>
        <row r="1077">
          <cell r="R1077">
            <v>0.13689999999999999</v>
          </cell>
        </row>
        <row r="1078">
          <cell r="R1078">
            <v>0.13489999999999999</v>
          </cell>
        </row>
        <row r="1079">
          <cell r="R1079">
            <v>0.14610000000000001</v>
          </cell>
        </row>
        <row r="1080">
          <cell r="R1080">
            <v>0.15010000000000001</v>
          </cell>
        </row>
        <row r="1081">
          <cell r="R1081">
            <v>0.14710000000000001</v>
          </cell>
        </row>
        <row r="1082">
          <cell r="R1082">
            <v>0.15010000000000001</v>
          </cell>
        </row>
        <row r="1083">
          <cell r="R1083">
            <v>0.15010000000000001</v>
          </cell>
        </row>
        <row r="1084">
          <cell r="R1084">
            <v>0.15210000000000001</v>
          </cell>
        </row>
        <row r="1085">
          <cell r="R1085">
            <v>0.15010000000000001</v>
          </cell>
        </row>
        <row r="1086">
          <cell r="R1086">
            <v>0.14000000000000001</v>
          </cell>
        </row>
        <row r="1087">
          <cell r="R1087">
            <v>0.1298</v>
          </cell>
        </row>
        <row r="1088">
          <cell r="R1088">
            <v>0.14199999999999999</v>
          </cell>
        </row>
        <row r="1089">
          <cell r="R1089">
            <v>0.1552</v>
          </cell>
        </row>
        <row r="1090">
          <cell r="R1090">
            <v>0.1532</v>
          </cell>
        </row>
        <row r="1091">
          <cell r="R1091">
            <v>0.15010000000000001</v>
          </cell>
        </row>
        <row r="1092">
          <cell r="R1092">
            <v>0.14710000000000001</v>
          </cell>
        </row>
        <row r="1093">
          <cell r="R1093">
            <v>0.1075</v>
          </cell>
        </row>
        <row r="1094">
          <cell r="R1094">
            <v>0.11459999999999999</v>
          </cell>
        </row>
        <row r="1095">
          <cell r="R1095">
            <v>0.11459999999999999</v>
          </cell>
        </row>
        <row r="1096">
          <cell r="R1096">
            <v>0.11459999999999999</v>
          </cell>
        </row>
        <row r="1097">
          <cell r="R1097">
            <v>0.11459999999999999</v>
          </cell>
        </row>
        <row r="1098">
          <cell r="R1098">
            <v>0.1217</v>
          </cell>
        </row>
        <row r="1099">
          <cell r="R1099">
            <v>0.13489999999999999</v>
          </cell>
        </row>
        <row r="1100">
          <cell r="R1100">
            <v>0.13489999999999999</v>
          </cell>
        </row>
        <row r="1101">
          <cell r="R1101">
            <v>0.13489999999999999</v>
          </cell>
        </row>
        <row r="1102">
          <cell r="R1102">
            <v>0.1298</v>
          </cell>
        </row>
        <row r="1103">
          <cell r="R1103">
            <v>0.1318</v>
          </cell>
        </row>
        <row r="1104">
          <cell r="R1104">
            <v>0.1217</v>
          </cell>
        </row>
        <row r="1105">
          <cell r="R1105">
            <v>0.1197</v>
          </cell>
        </row>
        <row r="1106">
          <cell r="R1106">
            <v>0.11459999999999999</v>
          </cell>
        </row>
        <row r="1107">
          <cell r="R1107">
            <v>0.1217</v>
          </cell>
        </row>
        <row r="1108">
          <cell r="R1108">
            <v>0.1298</v>
          </cell>
        </row>
        <row r="1109">
          <cell r="R1109">
            <v>0.1227</v>
          </cell>
        </row>
        <row r="1110">
          <cell r="R1110">
            <v>0.1105</v>
          </cell>
        </row>
        <row r="1111">
          <cell r="R1111">
            <v>0.1014</v>
          </cell>
        </row>
        <row r="1112">
          <cell r="R1112">
            <v>0.11260000000000001</v>
          </cell>
        </row>
        <row r="1113">
          <cell r="R1113">
            <v>0.1176</v>
          </cell>
        </row>
        <row r="1114">
          <cell r="R1114">
            <v>0.11459999999999999</v>
          </cell>
        </row>
        <row r="1115">
          <cell r="R1115">
            <v>0.11459999999999999</v>
          </cell>
        </row>
        <row r="1116">
          <cell r="R1116">
            <v>0.1105</v>
          </cell>
        </row>
        <row r="1117">
          <cell r="R1117">
            <v>0.11459999999999999</v>
          </cell>
        </row>
        <row r="1118">
          <cell r="R1118">
            <v>0.1268</v>
          </cell>
        </row>
        <row r="1119">
          <cell r="R1119">
            <v>0.12470000000000001</v>
          </cell>
        </row>
        <row r="1120">
          <cell r="R1120">
            <v>0.1268</v>
          </cell>
        </row>
        <row r="1121">
          <cell r="R1121">
            <v>0.1278</v>
          </cell>
        </row>
        <row r="1122">
          <cell r="R1122">
            <v>0.1318</v>
          </cell>
        </row>
        <row r="1123">
          <cell r="R1123">
            <v>0.13289999999999999</v>
          </cell>
        </row>
        <row r="1124">
          <cell r="R1124">
            <v>0.1298</v>
          </cell>
        </row>
        <row r="1125">
          <cell r="R1125">
            <v>0.12470000000000001</v>
          </cell>
        </row>
        <row r="1126">
          <cell r="R1126">
            <v>0.1308</v>
          </cell>
        </row>
        <row r="1127">
          <cell r="R1127">
            <v>0.15210000000000001</v>
          </cell>
        </row>
        <row r="1128">
          <cell r="R1128">
            <v>0.15210000000000001</v>
          </cell>
        </row>
        <row r="1129">
          <cell r="R1129">
            <v>0.1552</v>
          </cell>
        </row>
        <row r="1130">
          <cell r="R1130">
            <v>0.1552</v>
          </cell>
        </row>
        <row r="1131">
          <cell r="R1131">
            <v>0.15620000000000001</v>
          </cell>
        </row>
        <row r="1132">
          <cell r="R1132">
            <v>0.14499999999999999</v>
          </cell>
        </row>
        <row r="1133">
          <cell r="R1133">
            <v>0.1318</v>
          </cell>
        </row>
        <row r="1134">
          <cell r="R1134">
            <v>0.12470000000000001</v>
          </cell>
        </row>
        <row r="1135">
          <cell r="R1135">
            <v>0.1318</v>
          </cell>
        </row>
        <row r="1136">
          <cell r="R1136">
            <v>0.13489999999999999</v>
          </cell>
        </row>
        <row r="1137">
          <cell r="R1137">
            <v>0.13489999999999999</v>
          </cell>
        </row>
        <row r="1138">
          <cell r="R1138">
            <v>0.1166</v>
          </cell>
        </row>
        <row r="1139">
          <cell r="R1139">
            <v>0.1197</v>
          </cell>
        </row>
        <row r="1140">
          <cell r="R1140">
            <v>0.1318</v>
          </cell>
        </row>
        <row r="1141">
          <cell r="R1141">
            <v>0.13489999999999999</v>
          </cell>
        </row>
        <row r="1142">
          <cell r="R1142">
            <v>0.12470000000000001</v>
          </cell>
        </row>
        <row r="1143">
          <cell r="R1143">
            <v>0.1014</v>
          </cell>
        </row>
        <row r="1144">
          <cell r="R1144">
            <v>0.1014</v>
          </cell>
        </row>
        <row r="1145">
          <cell r="R1145">
            <v>0.1268</v>
          </cell>
        </row>
        <row r="1146">
          <cell r="R1146">
            <v>0.1298</v>
          </cell>
        </row>
        <row r="1147">
          <cell r="R1147">
            <v>0.1318</v>
          </cell>
        </row>
        <row r="1148">
          <cell r="R1148">
            <v>0.1258</v>
          </cell>
        </row>
        <row r="1149">
          <cell r="R1149">
            <v>0.13789999999999999</v>
          </cell>
        </row>
        <row r="1150">
          <cell r="R1150">
            <v>0.1197</v>
          </cell>
        </row>
        <row r="1151">
          <cell r="R1151">
            <v>0.1075</v>
          </cell>
        </row>
        <row r="1152">
          <cell r="R1152">
            <v>0.1197</v>
          </cell>
        </row>
        <row r="1153">
          <cell r="R1153">
            <v>0.1197</v>
          </cell>
        </row>
        <row r="1154">
          <cell r="R1154">
            <v>0.1298</v>
          </cell>
        </row>
        <row r="1155">
          <cell r="R1155">
            <v>0.13489999999999999</v>
          </cell>
        </row>
        <row r="1156">
          <cell r="R1156">
            <v>0.14000000000000001</v>
          </cell>
        </row>
        <row r="1157">
          <cell r="R1157">
            <v>0.13489999999999999</v>
          </cell>
        </row>
        <row r="1158">
          <cell r="R1158">
            <v>0.13489999999999999</v>
          </cell>
        </row>
        <row r="1159">
          <cell r="R1159">
            <v>0.14499999999999999</v>
          </cell>
        </row>
        <row r="1160">
          <cell r="R1160">
            <v>0.14199999999999999</v>
          </cell>
        </row>
        <row r="1161">
          <cell r="R1161">
            <v>0.14000000000000001</v>
          </cell>
        </row>
        <row r="1162">
          <cell r="R1162">
            <v>0.14499999999999999</v>
          </cell>
        </row>
        <row r="1163">
          <cell r="R1163">
            <v>0.14499999999999999</v>
          </cell>
        </row>
        <row r="1164">
          <cell r="R1164">
            <v>0.15010000000000001</v>
          </cell>
        </row>
        <row r="1165">
          <cell r="R1165">
            <v>0.1552</v>
          </cell>
        </row>
        <row r="1166">
          <cell r="R1166">
            <v>0.15010000000000001</v>
          </cell>
        </row>
        <row r="1167">
          <cell r="R1167">
            <v>0.15010000000000001</v>
          </cell>
        </row>
        <row r="1168">
          <cell r="R1168">
            <v>0.14499999999999999</v>
          </cell>
        </row>
        <row r="1169">
          <cell r="R1169">
            <v>0.1552</v>
          </cell>
        </row>
        <row r="1170">
          <cell r="R1170">
            <v>0.14000000000000001</v>
          </cell>
        </row>
        <row r="1171">
          <cell r="R1171">
            <v>0.14000000000000001</v>
          </cell>
        </row>
        <row r="1172">
          <cell r="R1172">
            <v>0.14499999999999999</v>
          </cell>
        </row>
        <row r="1173">
          <cell r="R1173">
            <v>0.15010000000000001</v>
          </cell>
        </row>
        <row r="1174">
          <cell r="R1174">
            <v>0.15010000000000001</v>
          </cell>
        </row>
        <row r="1175">
          <cell r="R1175">
            <v>0.14199999999999999</v>
          </cell>
        </row>
        <row r="1176">
          <cell r="R1176">
            <v>0.14499999999999999</v>
          </cell>
        </row>
        <row r="1177">
          <cell r="R1177">
            <v>0.14199999999999999</v>
          </cell>
        </row>
        <row r="1178">
          <cell r="R1178">
            <v>0.14000000000000001</v>
          </cell>
        </row>
        <row r="1179">
          <cell r="R1179">
            <v>0.1308</v>
          </cell>
        </row>
        <row r="1180">
          <cell r="R1180">
            <v>0.1095</v>
          </cell>
        </row>
        <row r="1181">
          <cell r="R1181">
            <v>0.1116</v>
          </cell>
        </row>
        <row r="1182">
          <cell r="R1182">
            <v>0.1095</v>
          </cell>
        </row>
        <row r="1183">
          <cell r="R1183">
            <v>0.1197</v>
          </cell>
        </row>
        <row r="1184">
          <cell r="R1184">
            <v>0.1065</v>
          </cell>
        </row>
        <row r="1185">
          <cell r="R1185">
            <v>8.9200000000000002E-2</v>
          </cell>
        </row>
        <row r="1186">
          <cell r="R1186">
            <v>8.9200000000000002E-2</v>
          </cell>
        </row>
        <row r="1187">
          <cell r="R1187">
            <v>0.1014</v>
          </cell>
        </row>
        <row r="1188">
          <cell r="R1188">
            <v>0.1166</v>
          </cell>
        </row>
        <row r="1189">
          <cell r="R1189">
            <v>0.1166</v>
          </cell>
        </row>
        <row r="1190">
          <cell r="R1190">
            <v>0.12470000000000001</v>
          </cell>
        </row>
        <row r="1191">
          <cell r="R1191">
            <v>0.13489999999999999</v>
          </cell>
        </row>
        <row r="1192">
          <cell r="R1192">
            <v>0.13489999999999999</v>
          </cell>
        </row>
        <row r="1193">
          <cell r="R1193">
            <v>0.1217</v>
          </cell>
        </row>
        <row r="1194">
          <cell r="R1194">
            <v>0.1207</v>
          </cell>
        </row>
        <row r="1195">
          <cell r="R1195">
            <v>0.1105</v>
          </cell>
        </row>
        <row r="1196">
          <cell r="R1196">
            <v>0.1004</v>
          </cell>
        </row>
        <row r="1197">
          <cell r="R1197">
            <v>0.1045</v>
          </cell>
        </row>
        <row r="1198">
          <cell r="R1198">
            <v>9.1300000000000006E-2</v>
          </cell>
        </row>
        <row r="1199">
          <cell r="R1199">
            <v>6.6900000000000001E-2</v>
          </cell>
        </row>
        <row r="1200">
          <cell r="R1200">
            <v>6.9000000000000006E-2</v>
          </cell>
        </row>
        <row r="1201">
          <cell r="R1201">
            <v>7.3999999999999996E-2</v>
          </cell>
        </row>
        <row r="1202">
          <cell r="R1202">
            <v>8.9200000000000002E-2</v>
          </cell>
        </row>
        <row r="1203">
          <cell r="R1203">
            <v>8.4199999999999997E-2</v>
          </cell>
        </row>
        <row r="1204">
          <cell r="R1204">
            <v>7.3999999999999996E-2</v>
          </cell>
        </row>
        <row r="1205">
          <cell r="R1205">
            <v>6.3899999999999998E-2</v>
          </cell>
        </row>
        <row r="1206">
          <cell r="R1206">
            <v>6.9000000000000006E-2</v>
          </cell>
        </row>
        <row r="1207">
          <cell r="R1207">
            <v>8.6199999999999999E-2</v>
          </cell>
        </row>
        <row r="1208">
          <cell r="R1208">
            <v>8.4199999999999997E-2</v>
          </cell>
        </row>
        <row r="1209">
          <cell r="R1209">
            <v>7.3999999999999996E-2</v>
          </cell>
        </row>
        <row r="1210">
          <cell r="R1210">
            <v>8.0100000000000005E-2</v>
          </cell>
        </row>
        <row r="1211">
          <cell r="R1211">
            <v>7.9100000000000004E-2</v>
          </cell>
        </row>
        <row r="1212">
          <cell r="R1212">
            <v>9.6299999999999997E-2</v>
          </cell>
        </row>
        <row r="1213">
          <cell r="R1213">
            <v>9.1300000000000006E-2</v>
          </cell>
        </row>
        <row r="1214">
          <cell r="R1214">
            <v>9.1300000000000006E-2</v>
          </cell>
        </row>
        <row r="1215">
          <cell r="R1215">
            <v>5.5800000000000002E-2</v>
          </cell>
        </row>
        <row r="1216">
          <cell r="R1216">
            <v>3.5499999999999997E-2</v>
          </cell>
        </row>
        <row r="1217">
          <cell r="R1217">
            <v>6.59E-2</v>
          </cell>
        </row>
        <row r="1218">
          <cell r="R1218">
            <v>5.5800000000000002E-2</v>
          </cell>
        </row>
        <row r="1219">
          <cell r="R1219">
            <v>3.5499999999999997E-2</v>
          </cell>
        </row>
        <row r="1220">
          <cell r="R1220">
            <v>3.5499999999999997E-2</v>
          </cell>
        </row>
        <row r="1221">
          <cell r="R1221">
            <v>3.5499999999999997E-2</v>
          </cell>
        </row>
        <row r="1222">
          <cell r="R1222">
            <v>4.5600000000000002E-2</v>
          </cell>
        </row>
        <row r="1223">
          <cell r="R1223">
            <v>5.0700000000000002E-2</v>
          </cell>
        </row>
        <row r="1224">
          <cell r="R1224">
            <v>6.59E-2</v>
          </cell>
        </row>
        <row r="1225">
          <cell r="R1225">
            <v>6.08E-2</v>
          </cell>
        </row>
        <row r="1226">
          <cell r="R1226">
            <v>5.0700000000000002E-2</v>
          </cell>
        </row>
        <row r="1227">
          <cell r="R1227">
            <v>5.0700000000000002E-2</v>
          </cell>
        </row>
        <row r="1228">
          <cell r="R1228">
            <v>5.5800000000000002E-2</v>
          </cell>
        </row>
        <row r="1229">
          <cell r="R1229">
            <v>5.0700000000000002E-2</v>
          </cell>
        </row>
        <row r="1230">
          <cell r="R1230">
            <v>4.5600000000000002E-2</v>
          </cell>
        </row>
        <row r="1231">
          <cell r="R1231">
            <v>5.5800000000000002E-2</v>
          </cell>
        </row>
        <row r="1232">
          <cell r="R1232">
            <v>5.0700000000000002E-2</v>
          </cell>
        </row>
        <row r="1233">
          <cell r="R1233">
            <v>3.5499999999999997E-2</v>
          </cell>
        </row>
        <row r="1234">
          <cell r="R1234">
            <v>3.5499999999999997E-2</v>
          </cell>
        </row>
        <row r="1235">
          <cell r="R1235">
            <v>3.04E-2</v>
          </cell>
        </row>
        <row r="1236">
          <cell r="R1236">
            <v>2.0299999999999999E-2</v>
          </cell>
        </row>
        <row r="1237">
          <cell r="R1237">
            <v>1.52E-2</v>
          </cell>
        </row>
        <row r="1238">
          <cell r="R1238">
            <v>1.01E-2</v>
          </cell>
        </row>
        <row r="1239">
          <cell r="R1239">
            <v>5.1000000000000004E-3</v>
          </cell>
        </row>
        <row r="1240">
          <cell r="R1240">
            <v>5.1000000000000004E-3</v>
          </cell>
        </row>
        <row r="1241">
          <cell r="R1241">
            <v>2.53E-2</v>
          </cell>
        </row>
        <row r="1242">
          <cell r="R1242">
            <v>1.52E-2</v>
          </cell>
        </row>
        <row r="1243">
          <cell r="R1243">
            <v>1.52E-2</v>
          </cell>
        </row>
        <row r="1244">
          <cell r="R1244">
            <v>2.0299999999999999E-2</v>
          </cell>
        </row>
        <row r="1245">
          <cell r="R1245">
            <v>2.0299999999999999E-2</v>
          </cell>
        </row>
        <row r="1246">
          <cell r="R1246">
            <v>3.5499999999999997E-2</v>
          </cell>
        </row>
        <row r="1247">
          <cell r="R1247">
            <v>3.5499999999999997E-2</v>
          </cell>
        </row>
        <row r="1248">
          <cell r="R1248">
            <v>4.0599999999999997E-2</v>
          </cell>
        </row>
        <row r="1249">
          <cell r="R1249">
            <v>4.0599999999999997E-2</v>
          </cell>
        </row>
        <row r="1250">
          <cell r="R1250">
            <v>4.5600000000000002E-2</v>
          </cell>
        </row>
        <row r="1251">
          <cell r="R1251">
            <v>5.0700000000000002E-2</v>
          </cell>
        </row>
        <row r="1252">
          <cell r="R1252">
            <v>4.5600000000000002E-2</v>
          </cell>
        </row>
        <row r="1253">
          <cell r="R1253">
            <v>4.5600000000000002E-2</v>
          </cell>
        </row>
        <row r="1254">
          <cell r="R1254">
            <v>4.0599999999999997E-2</v>
          </cell>
        </row>
        <row r="1255">
          <cell r="R1255">
            <v>4.5600000000000002E-2</v>
          </cell>
        </row>
        <row r="1256">
          <cell r="R1256">
            <v>4.07E-2</v>
          </cell>
        </row>
        <row r="1257">
          <cell r="R1257">
            <v>3.56E-2</v>
          </cell>
        </row>
        <row r="1258">
          <cell r="R1258">
            <v>3.0499999999999999E-2</v>
          </cell>
        </row>
        <row r="1259">
          <cell r="R1259">
            <v>2.0299999999999999E-2</v>
          </cell>
        </row>
        <row r="1260">
          <cell r="R1260">
            <v>3.56E-2</v>
          </cell>
        </row>
        <row r="1261">
          <cell r="R1261">
            <v>3.0499999999999999E-2</v>
          </cell>
        </row>
        <row r="1262">
          <cell r="R1262">
            <v>3.56E-2</v>
          </cell>
        </row>
        <row r="1263">
          <cell r="R1263">
            <v>4.07E-2</v>
          </cell>
        </row>
        <row r="1264">
          <cell r="R1264">
            <v>3.56E-2</v>
          </cell>
        </row>
        <row r="1265">
          <cell r="R1265">
            <v>4.58E-2</v>
          </cell>
        </row>
        <row r="1266">
          <cell r="R1266">
            <v>4.58E-2</v>
          </cell>
        </row>
        <row r="1267">
          <cell r="R1267">
            <v>3.0499999999999999E-2</v>
          </cell>
        </row>
        <row r="1268">
          <cell r="R1268">
            <v>2.5399999999999999E-2</v>
          </cell>
        </row>
        <row r="1269">
          <cell r="R1269">
            <v>2.0299999999999999E-2</v>
          </cell>
        </row>
        <row r="1270">
          <cell r="R1270">
            <v>2.0299999999999999E-2</v>
          </cell>
        </row>
        <row r="1271">
          <cell r="R1271">
            <v>1.01E-2</v>
          </cell>
        </row>
        <row r="1272">
          <cell r="R1272">
            <v>5.1000000000000004E-3</v>
          </cell>
        </row>
        <row r="1273">
          <cell r="R1273">
            <v>5.1000000000000004E-3</v>
          </cell>
        </row>
        <row r="1274">
          <cell r="R1274">
            <v>1.01E-2</v>
          </cell>
        </row>
        <row r="1275">
          <cell r="R1275">
            <v>2.0299999999999999E-2</v>
          </cell>
        </row>
        <row r="1276">
          <cell r="R1276">
            <v>2.0299999999999999E-2</v>
          </cell>
        </row>
        <row r="1277">
          <cell r="R1277">
            <v>1.0200000000000001E-2</v>
          </cell>
        </row>
        <row r="1278">
          <cell r="R1278">
            <v>1.5299999999999999E-2</v>
          </cell>
        </row>
        <row r="1279">
          <cell r="R1279">
            <v>-5.1000000000000004E-3</v>
          </cell>
        </row>
        <row r="1280">
          <cell r="R1280">
            <v>5.1000000000000004E-3</v>
          </cell>
        </row>
        <row r="1281">
          <cell r="R1281">
            <v>2.0299999999999999E-2</v>
          </cell>
        </row>
        <row r="1282">
          <cell r="R1282">
            <v>2.0299999999999999E-2</v>
          </cell>
        </row>
        <row r="1283">
          <cell r="R1283">
            <v>1.0200000000000001E-2</v>
          </cell>
        </row>
        <row r="1284">
          <cell r="R1284">
            <v>2.0299999999999999E-2</v>
          </cell>
        </row>
        <row r="1285">
          <cell r="R1285">
            <v>-5.1000000000000004E-3</v>
          </cell>
        </row>
        <row r="1286">
          <cell r="R1286">
            <v>5.1000000000000004E-3</v>
          </cell>
        </row>
        <row r="1287">
          <cell r="R1287">
            <v>5.1000000000000004E-3</v>
          </cell>
        </row>
        <row r="1288">
          <cell r="R1288">
            <v>5.1000000000000004E-3</v>
          </cell>
        </row>
        <row r="1289">
          <cell r="R1289">
            <v>1.52E-2</v>
          </cell>
        </row>
        <row r="1290">
          <cell r="R1290">
            <v>1.52E-2</v>
          </cell>
        </row>
        <row r="1291">
          <cell r="R1291">
            <v>3.5499999999999997E-2</v>
          </cell>
        </row>
        <row r="1292">
          <cell r="R1292">
            <v>3.04E-2</v>
          </cell>
        </row>
        <row r="1293">
          <cell r="R1293">
            <v>3.04E-2</v>
          </cell>
        </row>
        <row r="1294">
          <cell r="R1294">
            <v>6.6100000000000006E-2</v>
          </cell>
        </row>
        <row r="1295">
          <cell r="R1295">
            <v>7.6300000000000007E-2</v>
          </cell>
        </row>
        <row r="1296">
          <cell r="R1296">
            <v>7.1199999999999999E-2</v>
          </cell>
        </row>
        <row r="1297">
          <cell r="R1297">
            <v>9.1499999999999998E-2</v>
          </cell>
        </row>
        <row r="1298">
          <cell r="R1298">
            <v>7.1199999999999999E-2</v>
          </cell>
        </row>
        <row r="1299">
          <cell r="R1299">
            <v>5.5899999999999998E-2</v>
          </cell>
        </row>
        <row r="1300">
          <cell r="R1300">
            <v>1.0200000000000001E-2</v>
          </cell>
        </row>
        <row r="1301">
          <cell r="R1301">
            <v>5.1000000000000004E-3</v>
          </cell>
        </row>
        <row r="1302">
          <cell r="R1302">
            <v>5.1000000000000004E-3</v>
          </cell>
        </row>
        <row r="1303">
          <cell r="R1303">
            <v>2.0299999999999999E-2</v>
          </cell>
        </row>
        <row r="1304">
          <cell r="R1304">
            <v>2.5399999999999999E-2</v>
          </cell>
        </row>
        <row r="1305">
          <cell r="R1305">
            <v>1.0200000000000001E-2</v>
          </cell>
        </row>
        <row r="1306">
          <cell r="R1306">
            <v>1.0200000000000001E-2</v>
          </cell>
        </row>
        <row r="1307">
          <cell r="R1307">
            <v>1.0200000000000001E-2</v>
          </cell>
        </row>
        <row r="1308">
          <cell r="R1308">
            <v>0</v>
          </cell>
        </row>
        <row r="1309">
          <cell r="R1309">
            <v>5.1000000000000004E-3</v>
          </cell>
        </row>
        <row r="1310">
          <cell r="R1310">
            <v>5.1000000000000004E-3</v>
          </cell>
        </row>
        <row r="1311">
          <cell r="R1311">
            <v>0</v>
          </cell>
        </row>
        <row r="1312">
          <cell r="R1312">
            <v>0</v>
          </cell>
        </row>
        <row r="1313">
          <cell r="R1313">
            <v>-5.1000000000000004E-3</v>
          </cell>
        </row>
        <row r="1314">
          <cell r="R1314">
            <v>5.1000000000000004E-3</v>
          </cell>
        </row>
        <row r="1315">
          <cell r="R1315">
            <v>-1.0200000000000001E-2</v>
          </cell>
        </row>
        <row r="1316">
          <cell r="R1316">
            <v>-5.1000000000000004E-3</v>
          </cell>
        </row>
        <row r="1317">
          <cell r="R1317">
            <v>-5.1000000000000004E-3</v>
          </cell>
        </row>
        <row r="1318">
          <cell r="R1318">
            <v>0</v>
          </cell>
        </row>
        <row r="1319">
          <cell r="R1319">
            <v>5.1000000000000004E-3</v>
          </cell>
        </row>
        <row r="1320">
          <cell r="R1320">
            <v>1.0200000000000001E-2</v>
          </cell>
        </row>
        <row r="1321">
          <cell r="R1321">
            <v>1.0200000000000001E-2</v>
          </cell>
        </row>
        <row r="1322">
          <cell r="R1322">
            <v>1.5299999999999999E-2</v>
          </cell>
        </row>
        <row r="1323">
          <cell r="R1323">
            <v>1.5299999999999999E-2</v>
          </cell>
        </row>
        <row r="1324">
          <cell r="R1324">
            <v>1.5299999999999999E-2</v>
          </cell>
        </row>
        <row r="1325">
          <cell r="R1325">
            <v>1.0200000000000001E-2</v>
          </cell>
        </row>
        <row r="1326">
          <cell r="R1326">
            <v>5.1000000000000004E-3</v>
          </cell>
        </row>
        <row r="1327">
          <cell r="R1327">
            <v>5.1000000000000004E-3</v>
          </cell>
        </row>
        <row r="1328">
          <cell r="R1328">
            <v>0</v>
          </cell>
        </row>
        <row r="1329">
          <cell r="R1329">
            <v>0</v>
          </cell>
        </row>
        <row r="1330">
          <cell r="R1330">
            <v>0</v>
          </cell>
        </row>
        <row r="1331">
          <cell r="R1331">
            <v>0</v>
          </cell>
        </row>
        <row r="1332">
          <cell r="R1332">
            <v>0</v>
          </cell>
        </row>
        <row r="1333">
          <cell r="R1333">
            <v>5.1000000000000004E-3</v>
          </cell>
        </row>
        <row r="1334">
          <cell r="R1334">
            <v>5.1000000000000004E-3</v>
          </cell>
        </row>
        <row r="1335">
          <cell r="R1335">
            <v>0</v>
          </cell>
        </row>
        <row r="1336">
          <cell r="R1336">
            <v>-5.1000000000000004E-3</v>
          </cell>
        </row>
        <row r="1337">
          <cell r="R1337">
            <v>0</v>
          </cell>
        </row>
        <row r="1338">
          <cell r="R1338">
            <v>1.0200000000000001E-2</v>
          </cell>
        </row>
        <row r="1339">
          <cell r="R1339">
            <v>5.1000000000000004E-3</v>
          </cell>
        </row>
        <row r="1340">
          <cell r="R1340">
            <v>1.0200000000000001E-2</v>
          </cell>
        </row>
        <row r="1341">
          <cell r="R1341">
            <v>2.0299999999999999E-2</v>
          </cell>
        </row>
        <row r="1342">
          <cell r="R1342">
            <v>-5.1000000000000004E-3</v>
          </cell>
        </row>
        <row r="1343">
          <cell r="R1343">
            <v>0</v>
          </cell>
        </row>
        <row r="1344">
          <cell r="R1344">
            <v>0</v>
          </cell>
        </row>
        <row r="1345">
          <cell r="R1345">
            <v>0</v>
          </cell>
        </row>
        <row r="1346">
          <cell r="R1346">
            <v>5.1000000000000004E-3</v>
          </cell>
        </row>
        <row r="1347">
          <cell r="R1347">
            <v>0</v>
          </cell>
        </row>
        <row r="1348">
          <cell r="R1348">
            <v>1.52E-2</v>
          </cell>
        </row>
        <row r="1349">
          <cell r="R1349">
            <v>1.52E-2</v>
          </cell>
        </row>
        <row r="1350">
          <cell r="R1350">
            <v>1.01E-2</v>
          </cell>
        </row>
        <row r="1351">
          <cell r="R1351">
            <v>2.0299999999999999E-2</v>
          </cell>
        </row>
        <row r="1352">
          <cell r="R1352">
            <v>1.5299999999999999E-2</v>
          </cell>
        </row>
        <row r="1353">
          <cell r="R1353">
            <v>2.0299999999999999E-2</v>
          </cell>
        </row>
        <row r="1354">
          <cell r="R1354">
            <v>1.5299999999999999E-2</v>
          </cell>
        </row>
        <row r="1355">
          <cell r="R1355">
            <v>1.5299999999999999E-2</v>
          </cell>
        </row>
        <row r="1356">
          <cell r="R1356">
            <v>5.1000000000000004E-3</v>
          </cell>
        </row>
        <row r="1357">
          <cell r="R1357">
            <v>5.1000000000000004E-3</v>
          </cell>
        </row>
        <row r="1358">
          <cell r="R1358">
            <v>1.0200000000000001E-2</v>
          </cell>
        </row>
        <row r="1359">
          <cell r="R1359">
            <v>1.0200000000000001E-2</v>
          </cell>
        </row>
        <row r="1360">
          <cell r="R1360">
            <v>0</v>
          </cell>
        </row>
        <row r="1361">
          <cell r="R1361">
            <v>-1.52E-2</v>
          </cell>
        </row>
        <row r="1362">
          <cell r="R1362">
            <v>-1.0200000000000001E-2</v>
          </cell>
        </row>
        <row r="1363">
          <cell r="R1363">
            <v>0</v>
          </cell>
        </row>
        <row r="1364">
          <cell r="R1364">
            <v>0</v>
          </cell>
        </row>
        <row r="1365">
          <cell r="R1365">
            <v>-5.1000000000000004E-3</v>
          </cell>
        </row>
        <row r="1366">
          <cell r="R1366">
            <v>0</v>
          </cell>
        </row>
        <row r="1367">
          <cell r="R1367">
            <v>5.1000000000000004E-3</v>
          </cell>
        </row>
        <row r="1368">
          <cell r="R1368">
            <v>5.1000000000000004E-3</v>
          </cell>
        </row>
        <row r="1369">
          <cell r="R1369">
            <v>0</v>
          </cell>
        </row>
        <row r="1370">
          <cell r="R1370">
            <v>5.1000000000000004E-3</v>
          </cell>
        </row>
        <row r="1371">
          <cell r="R1371">
            <v>5.1000000000000004E-3</v>
          </cell>
        </row>
        <row r="1372">
          <cell r="R1372">
            <v>5.1000000000000004E-3</v>
          </cell>
        </row>
        <row r="1373">
          <cell r="R1373">
            <v>0</v>
          </cell>
        </row>
        <row r="1374">
          <cell r="R1374">
            <v>0</v>
          </cell>
        </row>
        <row r="1375">
          <cell r="R1375">
            <v>5.1000000000000004E-3</v>
          </cell>
        </row>
        <row r="1376">
          <cell r="R1376">
            <v>1.5299999999999999E-2</v>
          </cell>
        </row>
        <row r="1377">
          <cell r="R1377">
            <v>1.5299999999999999E-2</v>
          </cell>
        </row>
        <row r="1378">
          <cell r="R1378">
            <v>1.5299999999999999E-2</v>
          </cell>
        </row>
        <row r="1379">
          <cell r="R1379">
            <v>1.0200000000000001E-2</v>
          </cell>
        </row>
        <row r="1380">
          <cell r="R1380">
            <v>1.0200000000000001E-2</v>
          </cell>
        </row>
        <row r="1381">
          <cell r="R1381">
            <v>0</v>
          </cell>
        </row>
        <row r="1382">
          <cell r="R1382">
            <v>-5.1000000000000004E-3</v>
          </cell>
        </row>
        <row r="1383">
          <cell r="R1383">
            <v>-5.1000000000000004E-3</v>
          </cell>
        </row>
        <row r="1384">
          <cell r="R1384">
            <v>-5.1000000000000004E-3</v>
          </cell>
        </row>
        <row r="1385">
          <cell r="R1385">
            <v>0</v>
          </cell>
        </row>
        <row r="1386">
          <cell r="R1386">
            <v>0</v>
          </cell>
        </row>
        <row r="1387">
          <cell r="R1387">
            <v>0</v>
          </cell>
        </row>
        <row r="1388">
          <cell r="R1388">
            <v>0</v>
          </cell>
        </row>
        <row r="1389">
          <cell r="R1389">
            <v>0</v>
          </cell>
        </row>
        <row r="1390">
          <cell r="R1390">
            <v>5.1000000000000004E-3</v>
          </cell>
        </row>
        <row r="1391">
          <cell r="R1391">
            <v>-5.1000000000000004E-3</v>
          </cell>
        </row>
        <row r="1392">
          <cell r="R1392">
            <v>-5.1000000000000004E-3</v>
          </cell>
        </row>
        <row r="1393">
          <cell r="R1393">
            <v>-5.1000000000000004E-3</v>
          </cell>
        </row>
        <row r="1394">
          <cell r="R1394">
            <v>-5.1000000000000004E-3</v>
          </cell>
        </row>
        <row r="1395">
          <cell r="R1395">
            <v>5.1000000000000004E-3</v>
          </cell>
        </row>
        <row r="1396">
          <cell r="R1396">
            <v>0</v>
          </cell>
        </row>
        <row r="1397">
          <cell r="R1397">
            <v>0</v>
          </cell>
        </row>
        <row r="1398">
          <cell r="R1398">
            <v>-5.1000000000000004E-3</v>
          </cell>
        </row>
        <row r="1399">
          <cell r="R1399">
            <v>5.1000000000000004E-3</v>
          </cell>
        </row>
        <row r="1400">
          <cell r="R1400">
            <v>0</v>
          </cell>
        </row>
        <row r="1401">
          <cell r="R1401">
            <v>0</v>
          </cell>
        </row>
        <row r="1402">
          <cell r="R1402">
            <v>1.0200000000000001E-2</v>
          </cell>
        </row>
        <row r="1403">
          <cell r="R1403">
            <v>5.1000000000000004E-3</v>
          </cell>
        </row>
        <row r="1404">
          <cell r="R1404">
            <v>1.0200000000000001E-2</v>
          </cell>
        </row>
        <row r="1405">
          <cell r="R1405">
            <v>1.0200000000000001E-2</v>
          </cell>
        </row>
        <row r="1406">
          <cell r="R1406">
            <v>5.1000000000000004E-3</v>
          </cell>
        </row>
        <row r="1407">
          <cell r="R1407">
            <v>5.1000000000000004E-3</v>
          </cell>
        </row>
        <row r="1408">
          <cell r="R1408">
            <v>1.0200000000000001E-2</v>
          </cell>
        </row>
        <row r="1409">
          <cell r="R1409">
            <v>1.5299999999999999E-2</v>
          </cell>
        </row>
        <row r="1410">
          <cell r="R1410">
            <v>2.5399999999999999E-2</v>
          </cell>
        </row>
        <row r="1411">
          <cell r="R1411">
            <v>2.0299999999999999E-2</v>
          </cell>
        </row>
        <row r="1412">
          <cell r="R1412">
            <v>2.0299999999999999E-2</v>
          </cell>
        </row>
        <row r="1413">
          <cell r="R1413">
            <v>2.0299999999999999E-2</v>
          </cell>
        </row>
        <row r="1414">
          <cell r="R1414">
            <v>4.07E-2</v>
          </cell>
        </row>
        <row r="1415">
          <cell r="R1415">
            <v>4.07E-2</v>
          </cell>
        </row>
        <row r="1416">
          <cell r="R1416">
            <v>3.56E-2</v>
          </cell>
        </row>
        <row r="1417">
          <cell r="R1417">
            <v>3.56E-2</v>
          </cell>
        </row>
        <row r="1418">
          <cell r="R1418">
            <v>3.56E-2</v>
          </cell>
        </row>
        <row r="1419">
          <cell r="R1419">
            <v>4.58E-2</v>
          </cell>
        </row>
        <row r="1420">
          <cell r="R1420">
            <v>5.0799999999999998E-2</v>
          </cell>
        </row>
        <row r="1421">
          <cell r="R1421">
            <v>4.58E-2</v>
          </cell>
        </row>
        <row r="1422">
          <cell r="R1422">
            <v>5.0799999999999998E-2</v>
          </cell>
        </row>
        <row r="1423">
          <cell r="R1423">
            <v>5.5899999999999998E-2</v>
          </cell>
        </row>
        <row r="1424">
          <cell r="R1424">
            <v>7.6300000000000007E-2</v>
          </cell>
        </row>
        <row r="1425">
          <cell r="R1425">
            <v>7.1199999999999999E-2</v>
          </cell>
        </row>
        <row r="1426">
          <cell r="R1426">
            <v>6.6100000000000006E-2</v>
          </cell>
        </row>
        <row r="1427">
          <cell r="R1427">
            <v>8.1299999999999997E-2</v>
          </cell>
        </row>
        <row r="1428">
          <cell r="R1428">
            <v>7.6300000000000007E-2</v>
          </cell>
        </row>
        <row r="1429">
          <cell r="R1429">
            <v>8.6400000000000005E-2</v>
          </cell>
        </row>
        <row r="1430">
          <cell r="R1430">
            <v>8.1299999999999997E-2</v>
          </cell>
        </row>
        <row r="1431">
          <cell r="R1431">
            <v>9.6600000000000005E-2</v>
          </cell>
        </row>
        <row r="1432">
          <cell r="R1432">
            <v>0.10680000000000001</v>
          </cell>
        </row>
        <row r="1433">
          <cell r="R1433">
            <v>0.10680000000000001</v>
          </cell>
        </row>
        <row r="1434">
          <cell r="R1434">
            <v>9.6600000000000005E-2</v>
          </cell>
        </row>
        <row r="1435">
          <cell r="R1435">
            <v>7.6300000000000007E-2</v>
          </cell>
        </row>
        <row r="1436">
          <cell r="R1436">
            <v>6.0999999999999999E-2</v>
          </cell>
        </row>
        <row r="1437">
          <cell r="R1437">
            <v>8.1299999999999997E-2</v>
          </cell>
        </row>
        <row r="1438">
          <cell r="R1438">
            <v>8.6400000000000005E-2</v>
          </cell>
        </row>
        <row r="1439">
          <cell r="R1439">
            <v>9.1499999999999998E-2</v>
          </cell>
        </row>
        <row r="1440">
          <cell r="R1440">
            <v>0.1017</v>
          </cell>
        </row>
        <row r="1441">
          <cell r="R1441">
            <v>9.1499999999999998E-2</v>
          </cell>
        </row>
        <row r="1442">
          <cell r="R1442">
            <v>7.6300000000000007E-2</v>
          </cell>
        </row>
        <row r="1443">
          <cell r="R1443">
            <v>7.1199999999999999E-2</v>
          </cell>
        </row>
        <row r="1444">
          <cell r="R1444">
            <v>6.0999999999999999E-2</v>
          </cell>
        </row>
        <row r="1445">
          <cell r="R1445">
            <v>6.0999999999999999E-2</v>
          </cell>
        </row>
        <row r="1446">
          <cell r="R1446">
            <v>7.1199999999999999E-2</v>
          </cell>
        </row>
        <row r="1447">
          <cell r="R1447">
            <v>7.6300000000000007E-2</v>
          </cell>
        </row>
        <row r="1448">
          <cell r="R1448">
            <v>7.6300000000000007E-2</v>
          </cell>
        </row>
        <row r="1449">
          <cell r="R1449">
            <v>8.1299999999999997E-2</v>
          </cell>
        </row>
        <row r="1450">
          <cell r="R1450">
            <v>7.6300000000000007E-2</v>
          </cell>
        </row>
        <row r="1451">
          <cell r="R1451">
            <v>8.1299999999999997E-2</v>
          </cell>
        </row>
        <row r="1452">
          <cell r="R1452">
            <v>8.1299999999999997E-2</v>
          </cell>
        </row>
        <row r="1453">
          <cell r="R1453">
            <v>8.1299999999999997E-2</v>
          </cell>
        </row>
        <row r="1454">
          <cell r="R1454">
            <v>8.1299999999999997E-2</v>
          </cell>
        </row>
        <row r="1455">
          <cell r="R1455">
            <v>7.6300000000000007E-2</v>
          </cell>
        </row>
        <row r="1456">
          <cell r="R1456">
            <v>9.1499999999999998E-2</v>
          </cell>
        </row>
        <row r="1457">
          <cell r="R1457">
            <v>8.6400000000000005E-2</v>
          </cell>
        </row>
        <row r="1458">
          <cell r="R1458">
            <v>7.1199999999999999E-2</v>
          </cell>
        </row>
        <row r="1459">
          <cell r="R1459">
            <v>7.1199999999999999E-2</v>
          </cell>
        </row>
        <row r="1460">
          <cell r="R1460">
            <v>7.1199999999999999E-2</v>
          </cell>
        </row>
        <row r="1461">
          <cell r="R1461">
            <v>8.1299999999999997E-2</v>
          </cell>
        </row>
        <row r="1462">
          <cell r="R1462">
            <v>7.6300000000000007E-2</v>
          </cell>
        </row>
        <row r="1463">
          <cell r="R1463">
            <v>6.0999999999999999E-2</v>
          </cell>
        </row>
        <row r="1464">
          <cell r="R1464">
            <v>6.6100000000000006E-2</v>
          </cell>
        </row>
        <row r="1465">
          <cell r="R1465">
            <v>6.0999999999999999E-2</v>
          </cell>
        </row>
        <row r="1466">
          <cell r="R1466">
            <v>7.1199999999999999E-2</v>
          </cell>
        </row>
        <row r="1467">
          <cell r="R1467">
            <v>7.1199999999999999E-2</v>
          </cell>
        </row>
        <row r="1468">
          <cell r="R1468">
            <v>6.6100000000000006E-2</v>
          </cell>
        </row>
        <row r="1469">
          <cell r="R1469">
            <v>7.6300000000000007E-2</v>
          </cell>
        </row>
        <row r="1470">
          <cell r="R1470">
            <v>8.1299999999999997E-2</v>
          </cell>
        </row>
        <row r="1471">
          <cell r="R1471">
            <v>8.1299999999999997E-2</v>
          </cell>
        </row>
        <row r="1472">
          <cell r="R1472">
            <v>8.1299999999999997E-2</v>
          </cell>
        </row>
        <row r="1473">
          <cell r="R1473">
            <v>8.1299999999999997E-2</v>
          </cell>
        </row>
        <row r="1474">
          <cell r="R1474">
            <v>7.6300000000000007E-2</v>
          </cell>
        </row>
        <row r="1475">
          <cell r="R1475">
            <v>7.6300000000000007E-2</v>
          </cell>
        </row>
        <row r="1476">
          <cell r="R1476">
            <v>6.6100000000000006E-2</v>
          </cell>
        </row>
        <row r="1477">
          <cell r="R1477">
            <v>6.6100000000000006E-2</v>
          </cell>
        </row>
        <row r="1478">
          <cell r="R1478">
            <v>6.6100000000000006E-2</v>
          </cell>
        </row>
        <row r="1479">
          <cell r="R1479">
            <v>7.1199999999999999E-2</v>
          </cell>
        </row>
        <row r="1480">
          <cell r="R1480">
            <v>8.1299999999999997E-2</v>
          </cell>
        </row>
        <row r="1481">
          <cell r="R1481">
            <v>8.6400000000000005E-2</v>
          </cell>
        </row>
        <row r="1482">
          <cell r="R1482">
            <v>8.6400000000000005E-2</v>
          </cell>
        </row>
        <row r="1483">
          <cell r="R1483">
            <v>8.6400000000000005E-2</v>
          </cell>
        </row>
        <row r="1484">
          <cell r="R1484">
            <v>9.1499999999999998E-2</v>
          </cell>
        </row>
        <row r="1485">
          <cell r="R1485">
            <v>8.6400000000000005E-2</v>
          </cell>
        </row>
        <row r="1486">
          <cell r="R1486">
            <v>7.6300000000000007E-2</v>
          </cell>
        </row>
        <row r="1487">
          <cell r="R1487">
            <v>7.6300000000000007E-2</v>
          </cell>
        </row>
        <row r="1488">
          <cell r="R1488">
            <v>7.1199999999999999E-2</v>
          </cell>
        </row>
        <row r="1489">
          <cell r="R1489">
            <v>7.6300000000000007E-2</v>
          </cell>
        </row>
        <row r="1490">
          <cell r="R1490">
            <v>9.1499999999999998E-2</v>
          </cell>
        </row>
        <row r="1491">
          <cell r="R1491">
            <v>8.6400000000000005E-2</v>
          </cell>
        </row>
        <row r="1492">
          <cell r="R1492">
            <v>9.1499999999999998E-2</v>
          </cell>
        </row>
        <row r="1493">
          <cell r="R1493">
            <v>9.1499999999999998E-2</v>
          </cell>
        </row>
        <row r="1494">
          <cell r="R1494">
            <v>8.6400000000000005E-2</v>
          </cell>
        </row>
        <row r="1495">
          <cell r="R1495">
            <v>9.1499999999999998E-2</v>
          </cell>
        </row>
        <row r="1496">
          <cell r="R1496">
            <v>9.1499999999999998E-2</v>
          </cell>
        </row>
        <row r="1497">
          <cell r="R1497">
            <v>9.1499999999999998E-2</v>
          </cell>
        </row>
        <row r="1498">
          <cell r="R1498">
            <v>7.6300000000000007E-2</v>
          </cell>
        </row>
        <row r="1499">
          <cell r="R1499">
            <v>6.6100000000000006E-2</v>
          </cell>
        </row>
        <row r="1500">
          <cell r="R1500">
            <v>8.14E-2</v>
          </cell>
        </row>
        <row r="1501">
          <cell r="R1501">
            <v>8.1299999999999997E-2</v>
          </cell>
        </row>
        <row r="1502">
          <cell r="R1502">
            <v>9.1499999999999998E-2</v>
          </cell>
        </row>
        <row r="1503">
          <cell r="R1503">
            <v>8.1299999999999997E-2</v>
          </cell>
        </row>
        <row r="1504">
          <cell r="R1504">
            <v>7.6300000000000007E-2</v>
          </cell>
        </row>
        <row r="1505">
          <cell r="R1505">
            <v>6.59E-2</v>
          </cell>
        </row>
        <row r="1506">
          <cell r="R1506">
            <v>6.59E-2</v>
          </cell>
        </row>
        <row r="1507">
          <cell r="R1507">
            <v>6.59E-2</v>
          </cell>
        </row>
        <row r="1508">
          <cell r="R1508">
            <v>6.59E-2</v>
          </cell>
        </row>
        <row r="1509">
          <cell r="R1509">
            <v>7.6100000000000001E-2</v>
          </cell>
        </row>
        <row r="1510">
          <cell r="R1510">
            <v>8.1100000000000005E-2</v>
          </cell>
        </row>
        <row r="1511">
          <cell r="R1511">
            <v>7.6100000000000001E-2</v>
          </cell>
        </row>
        <row r="1512">
          <cell r="R1512">
            <v>7.6100000000000001E-2</v>
          </cell>
        </row>
        <row r="1513">
          <cell r="R1513">
            <v>7.6100000000000001E-2</v>
          </cell>
        </row>
        <row r="1514">
          <cell r="R1514">
            <v>8.6199999999999999E-2</v>
          </cell>
        </row>
        <row r="1515">
          <cell r="R1515">
            <v>9.1300000000000006E-2</v>
          </cell>
        </row>
        <row r="1516">
          <cell r="R1516">
            <v>9.6299999999999997E-2</v>
          </cell>
        </row>
        <row r="1517">
          <cell r="R1517">
            <v>8.6199999999999999E-2</v>
          </cell>
        </row>
        <row r="1518">
          <cell r="R1518">
            <v>7.6100000000000001E-2</v>
          </cell>
        </row>
        <row r="1519">
          <cell r="R1519">
            <v>8.6400000000000005E-2</v>
          </cell>
        </row>
        <row r="1520">
          <cell r="R1520">
            <v>8.1299999999999997E-2</v>
          </cell>
        </row>
        <row r="1521">
          <cell r="R1521">
            <v>7.6300000000000007E-2</v>
          </cell>
        </row>
        <row r="1522">
          <cell r="R1522">
            <v>7.6300000000000007E-2</v>
          </cell>
        </row>
        <row r="1523">
          <cell r="R1523">
            <v>7.6300000000000007E-2</v>
          </cell>
        </row>
        <row r="1524">
          <cell r="R1524">
            <v>8.6199999999999999E-2</v>
          </cell>
        </row>
        <row r="1525">
          <cell r="R1525">
            <v>8.6199999999999999E-2</v>
          </cell>
        </row>
        <row r="1526">
          <cell r="R1526">
            <v>8.1100000000000005E-2</v>
          </cell>
        </row>
        <row r="1527">
          <cell r="R1527">
            <v>8.1100000000000005E-2</v>
          </cell>
        </row>
        <row r="1528">
          <cell r="R1528">
            <v>7.0999999999999994E-2</v>
          </cell>
        </row>
        <row r="1529">
          <cell r="R1529">
            <v>8.1100000000000005E-2</v>
          </cell>
        </row>
        <row r="1530">
          <cell r="R1530">
            <v>7.0999999999999994E-2</v>
          </cell>
        </row>
        <row r="1531">
          <cell r="R1531">
            <v>7.0999999999999994E-2</v>
          </cell>
        </row>
        <row r="1532">
          <cell r="R1532">
            <v>7.0999999999999994E-2</v>
          </cell>
        </row>
        <row r="1533">
          <cell r="R1533">
            <v>8.6199999999999999E-2</v>
          </cell>
        </row>
        <row r="1534">
          <cell r="R1534">
            <v>9.1300000000000006E-2</v>
          </cell>
        </row>
        <row r="1535">
          <cell r="R1535">
            <v>9.6299999999999997E-2</v>
          </cell>
        </row>
        <row r="1536">
          <cell r="R1536">
            <v>8.1100000000000005E-2</v>
          </cell>
        </row>
        <row r="1537">
          <cell r="R1537">
            <v>8.6199999999999999E-2</v>
          </cell>
        </row>
        <row r="1538">
          <cell r="R1538">
            <v>9.1499999999999998E-2</v>
          </cell>
        </row>
        <row r="1539">
          <cell r="R1539">
            <v>8.6400000000000005E-2</v>
          </cell>
        </row>
        <row r="1540">
          <cell r="R1540">
            <v>7.6300000000000007E-2</v>
          </cell>
        </row>
        <row r="1541">
          <cell r="R1541">
            <v>8.6400000000000005E-2</v>
          </cell>
        </row>
        <row r="1542">
          <cell r="R1542">
            <v>9.1499999999999998E-2</v>
          </cell>
        </row>
        <row r="1543">
          <cell r="R1543">
            <v>9.6299999999999997E-2</v>
          </cell>
        </row>
        <row r="1544">
          <cell r="R1544">
            <v>9.6299999999999997E-2</v>
          </cell>
        </row>
        <row r="1545">
          <cell r="R1545">
            <v>0.1014</v>
          </cell>
        </row>
        <row r="1546">
          <cell r="R1546">
            <v>0.1014</v>
          </cell>
        </row>
        <row r="1547">
          <cell r="R1547">
            <v>9.6299999999999997E-2</v>
          </cell>
        </row>
        <row r="1548">
          <cell r="R1548">
            <v>9.6299999999999997E-2</v>
          </cell>
        </row>
        <row r="1549">
          <cell r="R1549">
            <v>9.1300000000000006E-2</v>
          </cell>
        </row>
        <row r="1550">
          <cell r="R1550">
            <v>8.6199999999999999E-2</v>
          </cell>
        </row>
        <row r="1551">
          <cell r="R1551">
            <v>7.6100000000000001E-2</v>
          </cell>
        </row>
        <row r="1552">
          <cell r="R1552">
            <v>7.6100000000000001E-2</v>
          </cell>
        </row>
        <row r="1553">
          <cell r="R1553">
            <v>9.6299999999999997E-2</v>
          </cell>
        </row>
        <row r="1554">
          <cell r="R1554">
            <v>0.1065</v>
          </cell>
        </row>
        <row r="1555">
          <cell r="R1555">
            <v>0.1116</v>
          </cell>
        </row>
        <row r="1556">
          <cell r="R1556">
            <v>0.1014</v>
          </cell>
        </row>
        <row r="1557">
          <cell r="R1557">
            <v>9.6299999999999997E-2</v>
          </cell>
        </row>
        <row r="1558">
          <cell r="R1558">
            <v>0.10680000000000001</v>
          </cell>
        </row>
        <row r="1559">
          <cell r="R1559">
            <v>8.1299999999999997E-2</v>
          </cell>
        </row>
        <row r="1560">
          <cell r="R1560">
            <v>8.1299999999999997E-2</v>
          </cell>
        </row>
        <row r="1561">
          <cell r="R1561">
            <v>6.6100000000000006E-2</v>
          </cell>
        </row>
        <row r="1562">
          <cell r="R1562">
            <v>8.6400000000000005E-2</v>
          </cell>
        </row>
        <row r="1563">
          <cell r="R1563">
            <v>0.1014</v>
          </cell>
        </row>
        <row r="1564">
          <cell r="R1564">
            <v>0.1014</v>
          </cell>
        </row>
        <row r="1565">
          <cell r="R1565">
            <v>9.6299999999999997E-2</v>
          </cell>
        </row>
        <row r="1566">
          <cell r="R1566">
            <v>9.1300000000000006E-2</v>
          </cell>
        </row>
        <row r="1567">
          <cell r="R1567">
            <v>9.1300000000000006E-2</v>
          </cell>
        </row>
        <row r="1568">
          <cell r="R1568">
            <v>9.6299999999999997E-2</v>
          </cell>
        </row>
        <row r="1569">
          <cell r="R1569">
            <v>9.6299999999999997E-2</v>
          </cell>
        </row>
        <row r="1570">
          <cell r="R1570">
            <v>9.6299999999999997E-2</v>
          </cell>
        </row>
        <row r="1571">
          <cell r="R1571">
            <v>7.0999999999999994E-2</v>
          </cell>
        </row>
        <row r="1572">
          <cell r="R1572">
            <v>8.6199999999999999E-2</v>
          </cell>
        </row>
        <row r="1573">
          <cell r="R1573">
            <v>0.1014</v>
          </cell>
        </row>
        <row r="1574">
          <cell r="R1574">
            <v>0.1014</v>
          </cell>
        </row>
        <row r="1575">
          <cell r="R1575">
            <v>0.1014</v>
          </cell>
        </row>
        <row r="1576">
          <cell r="R1576">
            <v>0.1014</v>
          </cell>
        </row>
        <row r="1577">
          <cell r="R1577">
            <v>9.6600000000000005E-2</v>
          </cell>
        </row>
        <row r="1578">
          <cell r="R1578">
            <v>0.1017</v>
          </cell>
        </row>
        <row r="1579">
          <cell r="R1579">
            <v>9.6600000000000005E-2</v>
          </cell>
        </row>
        <row r="1580">
          <cell r="R1580">
            <v>9.6600000000000005E-2</v>
          </cell>
        </row>
        <row r="1581">
          <cell r="R1581">
            <v>9.1499999999999998E-2</v>
          </cell>
        </row>
        <row r="1582">
          <cell r="R1582">
            <v>9.6299999999999997E-2</v>
          </cell>
        </row>
        <row r="1583">
          <cell r="R1583">
            <v>0.1065</v>
          </cell>
        </row>
        <row r="1584">
          <cell r="R1584">
            <v>0.1065</v>
          </cell>
        </row>
        <row r="1585">
          <cell r="R1585">
            <v>0.1014</v>
          </cell>
        </row>
        <row r="1586">
          <cell r="R1586">
            <v>9.6299999999999997E-2</v>
          </cell>
        </row>
        <row r="1587">
          <cell r="R1587">
            <v>0.1065</v>
          </cell>
        </row>
        <row r="1588">
          <cell r="R1588">
            <v>0.1014</v>
          </cell>
        </row>
        <row r="1589">
          <cell r="R1589">
            <v>8.6199999999999999E-2</v>
          </cell>
        </row>
        <row r="1590">
          <cell r="R1590">
            <v>9.1300000000000006E-2</v>
          </cell>
        </row>
        <row r="1591">
          <cell r="R1591">
            <v>8.1100000000000005E-2</v>
          </cell>
        </row>
        <row r="1592">
          <cell r="R1592">
            <v>8.6199999999999999E-2</v>
          </cell>
        </row>
        <row r="1593">
          <cell r="R1593">
            <v>8.6199999999999999E-2</v>
          </cell>
        </row>
        <row r="1594">
          <cell r="R1594">
            <v>0.1014</v>
          </cell>
        </row>
        <row r="1595">
          <cell r="R1595">
            <v>9.6299999999999997E-2</v>
          </cell>
        </row>
        <row r="1596">
          <cell r="R1596">
            <v>9.6299999999999997E-2</v>
          </cell>
        </row>
        <row r="1597">
          <cell r="R1597">
            <v>9.6600000000000005E-2</v>
          </cell>
        </row>
        <row r="1598">
          <cell r="R1598">
            <v>9.6600000000000005E-2</v>
          </cell>
        </row>
        <row r="1599">
          <cell r="R1599">
            <v>9.6600000000000005E-2</v>
          </cell>
        </row>
        <row r="1600">
          <cell r="R1600">
            <v>9.1499999999999998E-2</v>
          </cell>
        </row>
        <row r="1601">
          <cell r="R1601">
            <v>8.6199999999999999E-2</v>
          </cell>
        </row>
        <row r="1602">
          <cell r="R1602">
            <v>0.1065</v>
          </cell>
        </row>
        <row r="1603">
          <cell r="R1603">
            <v>9.6299999999999997E-2</v>
          </cell>
        </row>
        <row r="1604">
          <cell r="R1604">
            <v>9.1300000000000006E-2</v>
          </cell>
        </row>
        <row r="1605">
          <cell r="R1605">
            <v>9.1300000000000006E-2</v>
          </cell>
        </row>
        <row r="1606">
          <cell r="R1606">
            <v>0.1014</v>
          </cell>
        </row>
        <row r="1607">
          <cell r="R1607">
            <v>0.1065</v>
          </cell>
        </row>
        <row r="1608">
          <cell r="R1608">
            <v>0.1116</v>
          </cell>
        </row>
        <row r="1609">
          <cell r="R1609">
            <v>0.1116</v>
          </cell>
        </row>
        <row r="1610">
          <cell r="R1610">
            <v>0.1116</v>
          </cell>
        </row>
        <row r="1611">
          <cell r="R1611">
            <v>0.112</v>
          </cell>
        </row>
        <row r="1612">
          <cell r="R1612">
            <v>0.1065</v>
          </cell>
        </row>
        <row r="1613">
          <cell r="R1613">
            <v>9.1300000000000006E-2</v>
          </cell>
        </row>
        <row r="1614">
          <cell r="R1614">
            <v>9.1300000000000006E-2</v>
          </cell>
        </row>
        <row r="1615">
          <cell r="R1615">
            <v>8.6199999999999999E-2</v>
          </cell>
        </row>
        <row r="1616">
          <cell r="R1616">
            <v>9.1499999999999998E-2</v>
          </cell>
        </row>
        <row r="1617">
          <cell r="R1617">
            <v>9.6600000000000005E-2</v>
          </cell>
        </row>
        <row r="1618">
          <cell r="R1618">
            <v>8.6400000000000005E-2</v>
          </cell>
        </row>
        <row r="1619">
          <cell r="R1619">
            <v>9.1499999999999998E-2</v>
          </cell>
        </row>
        <row r="1620">
          <cell r="R1620">
            <v>8.6400000000000005E-2</v>
          </cell>
        </row>
        <row r="1621">
          <cell r="R1621">
            <v>0.1014</v>
          </cell>
        </row>
        <row r="1622">
          <cell r="R1622">
            <v>7.6100000000000001E-2</v>
          </cell>
        </row>
        <row r="1623">
          <cell r="R1623">
            <v>7.6100000000000001E-2</v>
          </cell>
        </row>
        <row r="1624">
          <cell r="R1624">
            <v>7.6100000000000001E-2</v>
          </cell>
        </row>
        <row r="1625">
          <cell r="R1625">
            <v>7.0999999999999994E-2</v>
          </cell>
        </row>
        <row r="1626">
          <cell r="R1626">
            <v>9.1300000000000006E-2</v>
          </cell>
        </row>
        <row r="1627">
          <cell r="R1627">
            <v>8.6199999999999999E-2</v>
          </cell>
        </row>
        <row r="1628">
          <cell r="R1628">
            <v>9.1300000000000006E-2</v>
          </cell>
        </row>
        <row r="1629">
          <cell r="R1629">
            <v>8.1100000000000005E-2</v>
          </cell>
        </row>
        <row r="1630">
          <cell r="R1630">
            <v>9.1300000000000006E-2</v>
          </cell>
        </row>
        <row r="1631">
          <cell r="R1631">
            <v>8.1100000000000005E-2</v>
          </cell>
        </row>
        <row r="1632">
          <cell r="R1632">
            <v>7.6100000000000001E-2</v>
          </cell>
        </row>
        <row r="1633">
          <cell r="R1633">
            <v>7.6100000000000001E-2</v>
          </cell>
        </row>
        <row r="1634">
          <cell r="R1634">
            <v>9.6299999999999997E-2</v>
          </cell>
        </row>
        <row r="1635">
          <cell r="R1635">
            <v>9.1300000000000006E-2</v>
          </cell>
        </row>
        <row r="1636">
          <cell r="R1636">
            <v>9.1300000000000006E-2</v>
          </cell>
        </row>
        <row r="1637">
          <cell r="R1637">
            <v>8.1100000000000005E-2</v>
          </cell>
        </row>
        <row r="1638">
          <cell r="R1638">
            <v>7.6100000000000001E-2</v>
          </cell>
        </row>
        <row r="1639">
          <cell r="R1639">
            <v>6.59E-2</v>
          </cell>
        </row>
        <row r="1640">
          <cell r="R1640">
            <v>6.08E-2</v>
          </cell>
        </row>
        <row r="1641">
          <cell r="R1641">
            <v>5.0700000000000002E-2</v>
          </cell>
        </row>
        <row r="1642">
          <cell r="R1642">
            <v>2.53E-2</v>
          </cell>
        </row>
        <row r="1643">
          <cell r="R1643">
            <v>2.0299999999999999E-2</v>
          </cell>
        </row>
        <row r="1644">
          <cell r="R1644">
            <v>5.0700000000000002E-2</v>
          </cell>
        </row>
        <row r="1645">
          <cell r="R1645">
            <v>5.0700000000000002E-2</v>
          </cell>
        </row>
        <row r="1646">
          <cell r="R1646">
            <v>5.0700000000000002E-2</v>
          </cell>
        </row>
        <row r="1647">
          <cell r="R1647">
            <v>5.5800000000000002E-2</v>
          </cell>
        </row>
        <row r="1648">
          <cell r="R1648">
            <v>5.0700000000000002E-2</v>
          </cell>
        </row>
        <row r="1649">
          <cell r="R1649">
            <v>5.5800000000000002E-2</v>
          </cell>
        </row>
        <row r="1650">
          <cell r="R1650">
            <v>6.59E-2</v>
          </cell>
        </row>
        <row r="1651">
          <cell r="R1651">
            <v>0.03</v>
          </cell>
        </row>
        <row r="1652">
          <cell r="R1652">
            <v>4.0599999999999997E-2</v>
          </cell>
        </row>
        <row r="1653">
          <cell r="R1653">
            <v>5.5800000000000002E-2</v>
          </cell>
        </row>
        <row r="1654">
          <cell r="R1654">
            <v>6.59E-2</v>
          </cell>
        </row>
        <row r="1655">
          <cell r="R1655">
            <v>6.59E-2</v>
          </cell>
        </row>
        <row r="1656">
          <cell r="R1656">
            <v>6.08E-2</v>
          </cell>
        </row>
        <row r="1657">
          <cell r="R1657">
            <v>5.0700000000000002E-2</v>
          </cell>
        </row>
        <row r="1658">
          <cell r="R1658">
            <v>5.5800000000000002E-2</v>
          </cell>
        </row>
        <row r="1659">
          <cell r="R1659">
            <v>6.08E-2</v>
          </cell>
        </row>
        <row r="1660">
          <cell r="R1660">
            <v>6.59E-2</v>
          </cell>
        </row>
        <row r="1661">
          <cell r="R1661">
            <v>6.59E-2</v>
          </cell>
        </row>
        <row r="1662">
          <cell r="R1662">
            <v>7.6100000000000001E-2</v>
          </cell>
        </row>
        <row r="1663">
          <cell r="R1663">
            <v>7.0999999999999994E-2</v>
          </cell>
        </row>
        <row r="1664">
          <cell r="R1664">
            <v>7.0999999999999994E-2</v>
          </cell>
        </row>
        <row r="1665">
          <cell r="R1665">
            <v>7.0999999999999994E-2</v>
          </cell>
        </row>
        <row r="1666">
          <cell r="R1666">
            <v>6.08E-2</v>
          </cell>
        </row>
        <row r="1667">
          <cell r="R1667">
            <v>7.0999999999999994E-2</v>
          </cell>
        </row>
        <row r="1668">
          <cell r="R1668">
            <v>7.6100000000000001E-2</v>
          </cell>
        </row>
        <row r="1669">
          <cell r="R1669">
            <v>7.0999999999999994E-2</v>
          </cell>
        </row>
        <row r="1670">
          <cell r="R1670">
            <v>6.08E-2</v>
          </cell>
        </row>
        <row r="1671">
          <cell r="R1671">
            <v>6.59E-2</v>
          </cell>
        </row>
        <row r="1672">
          <cell r="R1672">
            <v>6.08E-2</v>
          </cell>
        </row>
        <row r="1673">
          <cell r="R1673">
            <v>7.0999999999999994E-2</v>
          </cell>
        </row>
        <row r="1674">
          <cell r="R1674">
            <v>6.59E-2</v>
          </cell>
        </row>
        <row r="1675">
          <cell r="R1675">
            <v>5.5800000000000002E-2</v>
          </cell>
        </row>
        <row r="1676">
          <cell r="R1676">
            <v>7.0999999999999994E-2</v>
          </cell>
        </row>
        <row r="1677">
          <cell r="R1677">
            <v>6.59E-2</v>
          </cell>
        </row>
        <row r="1678">
          <cell r="R1678">
            <v>6.59E-2</v>
          </cell>
        </row>
        <row r="1679">
          <cell r="R1679">
            <v>6.59E-2</v>
          </cell>
        </row>
        <row r="1680">
          <cell r="R1680">
            <v>6.59E-2</v>
          </cell>
        </row>
        <row r="1681">
          <cell r="R1681">
            <v>8.1100000000000005E-2</v>
          </cell>
        </row>
        <row r="1682">
          <cell r="R1682">
            <v>9.1300000000000006E-2</v>
          </cell>
        </row>
        <row r="1683">
          <cell r="R1683">
            <v>9.6299999999999997E-2</v>
          </cell>
        </row>
        <row r="1684">
          <cell r="R1684">
            <v>9.6299999999999997E-2</v>
          </cell>
        </row>
        <row r="1685">
          <cell r="R1685">
            <v>0.1065</v>
          </cell>
        </row>
        <row r="1686">
          <cell r="R1686">
            <v>0.1166</v>
          </cell>
        </row>
        <row r="1687">
          <cell r="R1687">
            <v>0.1217</v>
          </cell>
        </row>
        <row r="1688">
          <cell r="R1688">
            <v>0.1217</v>
          </cell>
        </row>
        <row r="1689">
          <cell r="R1689">
            <v>0.1166</v>
          </cell>
        </row>
        <row r="1690">
          <cell r="R1690">
            <v>0.1116</v>
          </cell>
        </row>
        <row r="1691">
          <cell r="R1691">
            <v>0.1014</v>
          </cell>
        </row>
        <row r="1692">
          <cell r="R1692">
            <v>0.1014</v>
          </cell>
        </row>
        <row r="1693">
          <cell r="R1693">
            <v>0.1014</v>
          </cell>
        </row>
        <row r="1694">
          <cell r="R1694">
            <v>8.6199999999999999E-2</v>
          </cell>
        </row>
        <row r="1695">
          <cell r="R1695">
            <v>9.6299999999999997E-2</v>
          </cell>
        </row>
        <row r="1696">
          <cell r="R1696">
            <v>9.6299999999999997E-2</v>
          </cell>
        </row>
        <row r="1697">
          <cell r="R1697">
            <v>9.6299999999999997E-2</v>
          </cell>
        </row>
        <row r="1698">
          <cell r="R1698">
            <v>8.6199999999999999E-2</v>
          </cell>
        </row>
        <row r="1699">
          <cell r="R1699">
            <v>9.1300000000000006E-2</v>
          </cell>
        </row>
        <row r="1700">
          <cell r="R1700">
            <v>9.1300000000000006E-2</v>
          </cell>
        </row>
        <row r="1701">
          <cell r="R1701">
            <v>8.6199999999999999E-2</v>
          </cell>
        </row>
        <row r="1702">
          <cell r="R1702">
            <v>9.1300000000000006E-2</v>
          </cell>
        </row>
        <row r="1703">
          <cell r="R1703">
            <v>8.1100000000000005E-2</v>
          </cell>
        </row>
        <row r="1704">
          <cell r="R1704">
            <v>7.0999999999999994E-2</v>
          </cell>
        </row>
        <row r="1705">
          <cell r="R1705">
            <v>5.0700000000000002E-2</v>
          </cell>
        </row>
        <row r="1706">
          <cell r="R1706">
            <v>6.59E-2</v>
          </cell>
        </row>
        <row r="1707">
          <cell r="R1707">
            <v>6.59E-2</v>
          </cell>
        </row>
        <row r="1708">
          <cell r="R1708">
            <v>6.59E-2</v>
          </cell>
        </row>
        <row r="1709">
          <cell r="R1709">
            <v>6.08E-2</v>
          </cell>
        </row>
        <row r="1710">
          <cell r="R1710">
            <v>7.0999999999999994E-2</v>
          </cell>
        </row>
        <row r="1711">
          <cell r="R1711">
            <v>8.6199999999999999E-2</v>
          </cell>
        </row>
        <row r="1712">
          <cell r="R1712">
            <v>7.0999999999999994E-2</v>
          </cell>
        </row>
        <row r="1713">
          <cell r="R1713">
            <v>4.5600000000000002E-2</v>
          </cell>
        </row>
        <row r="1714">
          <cell r="R1714">
            <v>8.6199999999999999E-2</v>
          </cell>
        </row>
        <row r="1715">
          <cell r="R1715">
            <v>5.5800000000000002E-2</v>
          </cell>
        </row>
        <row r="1716">
          <cell r="R1716">
            <v>6.08E-2</v>
          </cell>
        </row>
        <row r="1717">
          <cell r="R1717">
            <v>6.08E-2</v>
          </cell>
        </row>
        <row r="1718">
          <cell r="R1718">
            <v>5.5800000000000002E-2</v>
          </cell>
        </row>
        <row r="1719">
          <cell r="R1719">
            <v>6.08E-2</v>
          </cell>
        </row>
        <row r="1720">
          <cell r="R1720">
            <v>6.59E-2</v>
          </cell>
        </row>
        <row r="1721">
          <cell r="R1721">
            <v>6.08E-2</v>
          </cell>
        </row>
        <row r="1722">
          <cell r="R1722">
            <v>6.08E-2</v>
          </cell>
        </row>
        <row r="1723">
          <cell r="R1723">
            <v>5.5800000000000002E-2</v>
          </cell>
        </row>
        <row r="1724">
          <cell r="R1724">
            <v>5.0700000000000002E-2</v>
          </cell>
        </row>
        <row r="1725">
          <cell r="R1725">
            <v>5.0700000000000002E-2</v>
          </cell>
        </row>
        <row r="1726">
          <cell r="R1726">
            <v>5.0700000000000002E-2</v>
          </cell>
        </row>
        <row r="1727">
          <cell r="R1727">
            <v>4.5600000000000002E-2</v>
          </cell>
        </row>
        <row r="1728">
          <cell r="R1728">
            <v>4.5600000000000002E-2</v>
          </cell>
        </row>
        <row r="1729">
          <cell r="R1729">
            <v>4.5600000000000002E-2</v>
          </cell>
        </row>
        <row r="1730">
          <cell r="R1730">
            <v>5.0700000000000002E-2</v>
          </cell>
        </row>
        <row r="1731">
          <cell r="R1731">
            <v>5.0700000000000002E-2</v>
          </cell>
        </row>
        <row r="1732">
          <cell r="R1732">
            <v>5.0700000000000002E-2</v>
          </cell>
        </row>
        <row r="1733">
          <cell r="R1733">
            <v>5.0700000000000002E-2</v>
          </cell>
        </row>
        <row r="1734">
          <cell r="R1734">
            <v>4.5600000000000002E-2</v>
          </cell>
        </row>
        <row r="1735">
          <cell r="R1735">
            <v>5.0700000000000002E-2</v>
          </cell>
        </row>
        <row r="1736">
          <cell r="R1736">
            <v>3.5499999999999997E-2</v>
          </cell>
        </row>
        <row r="1737">
          <cell r="R1737">
            <v>4.5600000000000002E-2</v>
          </cell>
        </row>
        <row r="1738">
          <cell r="R1738">
            <v>3.04E-2</v>
          </cell>
        </row>
        <row r="1739">
          <cell r="R1739">
            <v>2.53E-2</v>
          </cell>
        </row>
        <row r="1740">
          <cell r="R1740">
            <v>4.0599999999999997E-2</v>
          </cell>
        </row>
        <row r="1741">
          <cell r="R1741">
            <v>3.5499999999999997E-2</v>
          </cell>
        </row>
        <row r="1742">
          <cell r="R1742">
            <v>3.5499999999999997E-2</v>
          </cell>
        </row>
        <row r="1743">
          <cell r="R1743">
            <v>3.5499999999999997E-2</v>
          </cell>
        </row>
        <row r="1744">
          <cell r="R1744">
            <v>3.5499999999999997E-2</v>
          </cell>
        </row>
        <row r="1745">
          <cell r="R1745">
            <v>3.5499999999999997E-2</v>
          </cell>
        </row>
        <row r="1746">
          <cell r="R1746">
            <v>2.53E-2</v>
          </cell>
        </row>
        <row r="1747">
          <cell r="R1747">
            <v>3.04E-2</v>
          </cell>
        </row>
        <row r="1748">
          <cell r="R1748">
            <v>3.04E-2</v>
          </cell>
        </row>
        <row r="1749">
          <cell r="R1749">
            <v>3.5499999999999997E-2</v>
          </cell>
        </row>
        <row r="1750">
          <cell r="R1750">
            <v>3.5499999999999997E-2</v>
          </cell>
        </row>
        <row r="1751">
          <cell r="R1751">
            <v>4.0599999999999997E-2</v>
          </cell>
        </row>
        <row r="1752">
          <cell r="R1752">
            <v>3.5499999999999997E-2</v>
          </cell>
        </row>
        <row r="1753">
          <cell r="R1753">
            <v>4.0599999999999997E-2</v>
          </cell>
        </row>
        <row r="1754">
          <cell r="R1754">
            <v>3.5499999999999997E-2</v>
          </cell>
        </row>
        <row r="1755">
          <cell r="R1755">
            <v>2.53E-2</v>
          </cell>
        </row>
        <row r="1756">
          <cell r="R1756">
            <v>2.53E-2</v>
          </cell>
        </row>
        <row r="1757">
          <cell r="R1757">
            <v>2.53E-2</v>
          </cell>
        </row>
        <row r="1758">
          <cell r="R1758">
            <v>4.0599999999999997E-2</v>
          </cell>
        </row>
        <row r="1759">
          <cell r="R1759">
            <v>3.5499999999999997E-2</v>
          </cell>
        </row>
        <row r="1760">
          <cell r="R1760">
            <v>4.5600000000000002E-2</v>
          </cell>
        </row>
        <row r="1761">
          <cell r="R1761">
            <v>4.0599999999999997E-2</v>
          </cell>
        </row>
        <row r="1762">
          <cell r="R1762">
            <v>4.0599999999999997E-2</v>
          </cell>
        </row>
        <row r="1763">
          <cell r="R1763">
            <v>4.0599999999999997E-2</v>
          </cell>
        </row>
        <row r="1764">
          <cell r="R1764">
            <v>4.5600000000000002E-2</v>
          </cell>
        </row>
        <row r="1765">
          <cell r="R1765">
            <v>4.0599999999999997E-2</v>
          </cell>
        </row>
        <row r="1766">
          <cell r="R1766">
            <v>4.0599999999999997E-2</v>
          </cell>
        </row>
        <row r="1767">
          <cell r="R1767">
            <v>4.0599999999999997E-2</v>
          </cell>
        </row>
        <row r="1768">
          <cell r="R1768">
            <v>4.5600000000000002E-2</v>
          </cell>
        </row>
        <row r="1769">
          <cell r="R1769">
            <v>4.0599999999999997E-2</v>
          </cell>
        </row>
        <row r="1770">
          <cell r="R1770">
            <v>4.0599999999999997E-2</v>
          </cell>
        </row>
        <row r="1771">
          <cell r="R1771">
            <v>4.0599999999999997E-2</v>
          </cell>
        </row>
        <row r="1772">
          <cell r="R1772">
            <v>4.0599999999999997E-2</v>
          </cell>
        </row>
        <row r="1773">
          <cell r="R1773">
            <v>5.5800000000000002E-2</v>
          </cell>
        </row>
        <row r="1774">
          <cell r="R1774">
            <v>5.5800000000000002E-2</v>
          </cell>
        </row>
        <row r="1775">
          <cell r="R1775">
            <v>4.5600000000000002E-2</v>
          </cell>
        </row>
        <row r="1776">
          <cell r="R1776">
            <v>3.04E-2</v>
          </cell>
        </row>
        <row r="1777">
          <cell r="R1777">
            <v>1.01E-2</v>
          </cell>
        </row>
        <row r="1778">
          <cell r="R1778">
            <v>2.0299999999999999E-2</v>
          </cell>
        </row>
        <row r="1779">
          <cell r="R1779">
            <v>4.0599999999999997E-2</v>
          </cell>
        </row>
        <row r="1780">
          <cell r="R1780">
            <v>3.5499999999999997E-2</v>
          </cell>
        </row>
        <row r="1781">
          <cell r="R1781">
            <v>3.04E-2</v>
          </cell>
        </row>
        <row r="1782">
          <cell r="R1782">
            <v>3.5499999999999997E-2</v>
          </cell>
        </row>
        <row r="1783">
          <cell r="R1783">
            <v>3.04E-2</v>
          </cell>
        </row>
        <row r="1784">
          <cell r="R1784">
            <v>3.04E-2</v>
          </cell>
        </row>
        <row r="1785">
          <cell r="R1785">
            <v>3.04E-2</v>
          </cell>
        </row>
        <row r="1786">
          <cell r="R1786">
            <v>2.0299999999999999E-2</v>
          </cell>
        </row>
        <row r="1787">
          <cell r="R1787">
            <v>2.53E-2</v>
          </cell>
        </row>
        <row r="1788">
          <cell r="R1788">
            <v>2.53E-2</v>
          </cell>
        </row>
        <row r="1789">
          <cell r="R1789">
            <v>2.53E-2</v>
          </cell>
        </row>
        <row r="1790">
          <cell r="R1790">
            <v>2.0299999999999999E-2</v>
          </cell>
        </row>
        <row r="1791">
          <cell r="R1791">
            <v>1.01E-2</v>
          </cell>
        </row>
        <row r="1792">
          <cell r="R1792">
            <v>1.52E-2</v>
          </cell>
        </row>
        <row r="1793">
          <cell r="R1793">
            <v>2.0299999999999999E-2</v>
          </cell>
        </row>
        <row r="1794">
          <cell r="R1794">
            <v>1.52E-2</v>
          </cell>
        </row>
        <row r="1795">
          <cell r="R1795">
            <v>1.52E-2</v>
          </cell>
        </row>
        <row r="1796">
          <cell r="R1796">
            <v>1.52E-2</v>
          </cell>
        </row>
        <row r="1797">
          <cell r="R1797">
            <v>3.5499999999999997E-2</v>
          </cell>
        </row>
        <row r="1798">
          <cell r="R1798">
            <v>3.5499999999999997E-2</v>
          </cell>
        </row>
        <row r="1799">
          <cell r="R1799">
            <v>3.5499999999999997E-2</v>
          </cell>
        </row>
        <row r="1800">
          <cell r="R1800">
            <v>3.04E-2</v>
          </cell>
        </row>
        <row r="1801">
          <cell r="R1801">
            <v>3.5499999999999997E-2</v>
          </cell>
        </row>
        <row r="1802">
          <cell r="R1802">
            <v>3.5499999999999997E-2</v>
          </cell>
        </row>
        <row r="1803">
          <cell r="R1803">
            <v>4.0599999999999997E-2</v>
          </cell>
        </row>
        <row r="1804">
          <cell r="R1804">
            <v>4.5600000000000002E-2</v>
          </cell>
        </row>
        <row r="1805">
          <cell r="R1805">
            <v>5.0700000000000002E-2</v>
          </cell>
        </row>
        <row r="1806">
          <cell r="R1806">
            <v>5.0700000000000002E-2</v>
          </cell>
        </row>
        <row r="1807">
          <cell r="R1807">
            <v>4.5600000000000002E-2</v>
          </cell>
        </row>
        <row r="1808">
          <cell r="R1808">
            <v>4.5600000000000002E-2</v>
          </cell>
        </row>
        <row r="1809">
          <cell r="R1809">
            <v>4.5600000000000002E-2</v>
          </cell>
        </row>
        <row r="1810">
          <cell r="R1810">
            <v>3.5499999999999997E-2</v>
          </cell>
        </row>
        <row r="1811">
          <cell r="R1811">
            <v>3.5499999999999997E-2</v>
          </cell>
        </row>
        <row r="1812">
          <cell r="R1812">
            <v>3.5499999999999997E-2</v>
          </cell>
        </row>
        <row r="1813">
          <cell r="R1813">
            <v>3.04E-2</v>
          </cell>
        </row>
        <row r="1814">
          <cell r="R1814">
            <v>2.0299999999999999E-2</v>
          </cell>
        </row>
        <row r="1815">
          <cell r="R1815">
            <v>2.53E-2</v>
          </cell>
        </row>
        <row r="1816">
          <cell r="R1816">
            <v>5.1000000000000004E-3</v>
          </cell>
        </row>
        <row r="1817">
          <cell r="R1817">
            <v>6.08E-2</v>
          </cell>
        </row>
        <row r="1818">
          <cell r="R1818">
            <v>2.53E-2</v>
          </cell>
        </row>
        <row r="1819">
          <cell r="R1819">
            <v>2.0299999999999999E-2</v>
          </cell>
        </row>
        <row r="1820">
          <cell r="R1820">
            <v>2.0299999999999999E-2</v>
          </cell>
        </row>
        <row r="1821">
          <cell r="R1821">
            <v>1.52E-2</v>
          </cell>
        </row>
        <row r="1822">
          <cell r="R1822">
            <v>1.52E-2</v>
          </cell>
        </row>
        <row r="1823">
          <cell r="R1823">
            <v>2.0299999999999999E-2</v>
          </cell>
        </row>
        <row r="1824">
          <cell r="R1824">
            <v>1.52E-2</v>
          </cell>
        </row>
        <row r="1825">
          <cell r="R1825">
            <v>1.01E-2</v>
          </cell>
        </row>
        <row r="1826">
          <cell r="R1826">
            <v>1.52E-2</v>
          </cell>
        </row>
        <row r="1827">
          <cell r="R1827">
            <v>1.52E-2</v>
          </cell>
        </row>
        <row r="1828">
          <cell r="R1828">
            <v>1.52E-2</v>
          </cell>
        </row>
        <row r="1829">
          <cell r="R1829">
            <v>1.01E-2</v>
          </cell>
        </row>
        <row r="1830">
          <cell r="R1830">
            <v>5.1000000000000004E-3</v>
          </cell>
        </row>
        <row r="1831">
          <cell r="R1831">
            <v>5.1000000000000004E-3</v>
          </cell>
        </row>
        <row r="1832">
          <cell r="R1832">
            <v>5.1000000000000004E-3</v>
          </cell>
        </row>
        <row r="1833">
          <cell r="R1833">
            <v>0</v>
          </cell>
        </row>
        <row r="1834">
          <cell r="R1834">
            <v>1.01E-2</v>
          </cell>
        </row>
        <row r="1835">
          <cell r="R1835">
            <v>5.1000000000000004E-3</v>
          </cell>
        </row>
        <row r="1836">
          <cell r="R1836">
            <v>2.0299999999999999E-2</v>
          </cell>
        </row>
        <row r="1837">
          <cell r="R1837">
            <v>1.52E-2</v>
          </cell>
        </row>
        <row r="1838">
          <cell r="R1838">
            <v>0</v>
          </cell>
        </row>
        <row r="1839">
          <cell r="R1839">
            <v>1.01E-2</v>
          </cell>
        </row>
        <row r="1840">
          <cell r="R1840">
            <v>5.1000000000000004E-3</v>
          </cell>
        </row>
        <row r="1841">
          <cell r="R1841">
            <v>1.52E-2</v>
          </cell>
        </row>
        <row r="1842">
          <cell r="R1842">
            <v>5.1000000000000004E-3</v>
          </cell>
        </row>
        <row r="1843">
          <cell r="R1843">
            <v>2.0299999999999999E-2</v>
          </cell>
        </row>
        <row r="1844">
          <cell r="R1844">
            <v>2.0299999999999999E-2</v>
          </cell>
        </row>
        <row r="1845">
          <cell r="R1845">
            <v>2.0299999999999999E-2</v>
          </cell>
        </row>
        <row r="1846">
          <cell r="R1846">
            <v>4.5600000000000002E-2</v>
          </cell>
        </row>
        <row r="1847">
          <cell r="R1847">
            <v>4.0599999999999997E-2</v>
          </cell>
        </row>
        <row r="1848">
          <cell r="R1848">
            <v>4.5600000000000002E-2</v>
          </cell>
        </row>
        <row r="1849">
          <cell r="R1849">
            <v>5.5800000000000002E-2</v>
          </cell>
        </row>
        <row r="1850">
          <cell r="R1850">
            <v>0.1014</v>
          </cell>
        </row>
        <row r="1851">
          <cell r="R1851">
            <v>8.6199999999999999E-2</v>
          </cell>
        </row>
        <row r="1852">
          <cell r="R1852">
            <v>4.0599999999999997E-2</v>
          </cell>
        </row>
        <row r="1853">
          <cell r="R1853">
            <v>2.0299999999999999E-2</v>
          </cell>
        </row>
        <row r="1854">
          <cell r="R1854">
            <v>2.53E-2</v>
          </cell>
        </row>
        <row r="1855">
          <cell r="R1855">
            <v>2.53E-2</v>
          </cell>
        </row>
        <row r="1856">
          <cell r="R1856">
            <v>3.04E-2</v>
          </cell>
        </row>
        <row r="1857">
          <cell r="R1857">
            <v>3.04E-2</v>
          </cell>
        </row>
        <row r="1858">
          <cell r="R1858">
            <v>3.04E-2</v>
          </cell>
        </row>
        <row r="1859">
          <cell r="R1859">
            <v>1.52E-2</v>
          </cell>
        </row>
        <row r="1860">
          <cell r="R1860">
            <v>3.5499999999999997E-2</v>
          </cell>
        </row>
        <row r="1861">
          <cell r="R1861">
            <v>3.04E-2</v>
          </cell>
        </row>
        <row r="1862">
          <cell r="R1862">
            <v>3.5499999999999997E-2</v>
          </cell>
        </row>
        <row r="1863">
          <cell r="R1863">
            <v>3.5499999999999997E-2</v>
          </cell>
        </row>
        <row r="1864">
          <cell r="R1864">
            <v>3.5499999999999997E-2</v>
          </cell>
        </row>
        <row r="1865">
          <cell r="R1865">
            <v>4.5600000000000002E-2</v>
          </cell>
        </row>
        <row r="1866">
          <cell r="R1866">
            <v>4.5600000000000002E-2</v>
          </cell>
        </row>
        <row r="1867">
          <cell r="R1867">
            <v>5.5800000000000002E-2</v>
          </cell>
        </row>
        <row r="1868">
          <cell r="R1868">
            <v>5.0700000000000002E-2</v>
          </cell>
        </row>
        <row r="1869">
          <cell r="R1869">
            <v>5.5800000000000002E-2</v>
          </cell>
        </row>
        <row r="1870">
          <cell r="R1870">
            <v>7.0999999999999994E-2</v>
          </cell>
        </row>
        <row r="1871">
          <cell r="R1871">
            <v>7.0999999999999994E-2</v>
          </cell>
        </row>
        <row r="1872">
          <cell r="R1872">
            <v>6.59E-2</v>
          </cell>
        </row>
        <row r="1873">
          <cell r="R1873">
            <v>6.59E-2</v>
          </cell>
        </row>
        <row r="1874">
          <cell r="R1874">
            <v>7.6100000000000001E-2</v>
          </cell>
        </row>
        <row r="1875">
          <cell r="R1875">
            <v>7.6100000000000001E-2</v>
          </cell>
        </row>
        <row r="1876">
          <cell r="R1876">
            <v>7.0999999999999994E-2</v>
          </cell>
        </row>
        <row r="1877">
          <cell r="R1877">
            <v>7.0999999999999994E-2</v>
          </cell>
        </row>
        <row r="1878">
          <cell r="R1878">
            <v>6.08E-2</v>
          </cell>
        </row>
        <row r="1879">
          <cell r="R1879">
            <v>6.59E-2</v>
          </cell>
        </row>
        <row r="1880">
          <cell r="R1880">
            <v>6.08E-2</v>
          </cell>
        </row>
        <row r="1881">
          <cell r="R1881">
            <v>5.5800000000000002E-2</v>
          </cell>
        </row>
        <row r="1882">
          <cell r="R1882">
            <v>5.0700000000000002E-2</v>
          </cell>
        </row>
        <row r="1883">
          <cell r="R1883">
            <v>3.5499999999999997E-2</v>
          </cell>
        </row>
        <row r="1884">
          <cell r="R1884">
            <v>4.5600000000000002E-2</v>
          </cell>
        </row>
        <row r="1885">
          <cell r="R1885">
            <v>5.5800000000000002E-2</v>
          </cell>
        </row>
        <row r="1886">
          <cell r="R1886">
            <v>5.5800000000000002E-2</v>
          </cell>
        </row>
        <row r="1887">
          <cell r="R1887">
            <v>5.0700000000000002E-2</v>
          </cell>
        </row>
        <row r="1888">
          <cell r="R1888">
            <v>6.59E-2</v>
          </cell>
        </row>
        <row r="1889">
          <cell r="R1889">
            <v>6.59E-2</v>
          </cell>
        </row>
        <row r="1890">
          <cell r="R1890">
            <v>6.59E-2</v>
          </cell>
        </row>
        <row r="1891">
          <cell r="R1891">
            <v>6.08E-2</v>
          </cell>
        </row>
        <row r="1892">
          <cell r="R1892">
            <v>6.08E-2</v>
          </cell>
        </row>
        <row r="1893">
          <cell r="R1893">
            <v>6.08E-2</v>
          </cell>
        </row>
        <row r="1894">
          <cell r="R1894">
            <v>6.08E-2</v>
          </cell>
        </row>
        <row r="1895">
          <cell r="R1895">
            <v>6.59E-2</v>
          </cell>
        </row>
        <row r="1896">
          <cell r="R1896">
            <v>5.5800000000000002E-2</v>
          </cell>
        </row>
        <row r="1897">
          <cell r="R1897">
            <v>6.08E-2</v>
          </cell>
        </row>
        <row r="1898">
          <cell r="R1898">
            <v>6.59E-2</v>
          </cell>
        </row>
        <row r="1899">
          <cell r="R1899">
            <v>6.08E-2</v>
          </cell>
        </row>
        <row r="1900">
          <cell r="R1900">
            <v>6.08E-2</v>
          </cell>
        </row>
        <row r="1901">
          <cell r="R1901">
            <v>6.08E-2</v>
          </cell>
        </row>
        <row r="1902">
          <cell r="R1902">
            <v>6.59E-2</v>
          </cell>
        </row>
        <row r="1903">
          <cell r="R1903">
            <v>6.08E-2</v>
          </cell>
        </row>
        <row r="1904">
          <cell r="R1904">
            <v>6.59E-2</v>
          </cell>
        </row>
        <row r="1905">
          <cell r="R1905">
            <v>4.5600000000000002E-2</v>
          </cell>
        </row>
        <row r="1906">
          <cell r="R1906">
            <v>3.5499999999999997E-2</v>
          </cell>
        </row>
        <row r="1907">
          <cell r="R1907">
            <v>3.04E-2</v>
          </cell>
        </row>
        <row r="1908">
          <cell r="R1908">
            <v>3.5499999999999997E-2</v>
          </cell>
        </row>
        <row r="1909">
          <cell r="R1909">
            <v>3.5499999999999997E-2</v>
          </cell>
        </row>
        <row r="1910">
          <cell r="R1910">
            <v>2.53E-2</v>
          </cell>
        </row>
        <row r="1911">
          <cell r="R1911">
            <v>3.04E-2</v>
          </cell>
        </row>
        <row r="1912">
          <cell r="R1912">
            <v>3.5499999999999997E-2</v>
          </cell>
        </row>
        <row r="1913">
          <cell r="R1913">
            <v>3.04E-2</v>
          </cell>
        </row>
        <row r="1914">
          <cell r="R1914">
            <v>3.04E-2</v>
          </cell>
        </row>
        <row r="1915">
          <cell r="R1915">
            <v>3.5499999999999997E-2</v>
          </cell>
        </row>
        <row r="1916">
          <cell r="R1916">
            <v>3.04E-2</v>
          </cell>
        </row>
        <row r="1917">
          <cell r="R1917">
            <v>3.5499999999999997E-2</v>
          </cell>
        </row>
        <row r="1918">
          <cell r="R1918">
            <v>4.5600000000000002E-2</v>
          </cell>
        </row>
        <row r="1919">
          <cell r="R1919">
            <v>5.0700000000000002E-2</v>
          </cell>
        </row>
        <row r="1920">
          <cell r="R1920">
            <v>4.5600000000000002E-2</v>
          </cell>
        </row>
        <row r="1921">
          <cell r="R1921">
            <v>4.0599999999999997E-2</v>
          </cell>
        </row>
        <row r="1922">
          <cell r="R1922">
            <v>1.52E-2</v>
          </cell>
        </row>
        <row r="1923">
          <cell r="R1923">
            <v>2.0299999999999999E-2</v>
          </cell>
        </row>
        <row r="1924">
          <cell r="R1924">
            <v>2.53E-2</v>
          </cell>
        </row>
        <row r="1925">
          <cell r="R1925">
            <v>5.0700000000000002E-2</v>
          </cell>
        </row>
        <row r="1926">
          <cell r="R1926">
            <v>5.5800000000000002E-2</v>
          </cell>
        </row>
        <row r="1927">
          <cell r="R1927">
            <v>6.59E-2</v>
          </cell>
        </row>
        <row r="1928">
          <cell r="R1928">
            <v>8.1100000000000005E-2</v>
          </cell>
        </row>
        <row r="1929">
          <cell r="R1929">
            <v>5.5800000000000002E-2</v>
          </cell>
        </row>
        <row r="1930">
          <cell r="R1930">
            <v>4.5600000000000002E-2</v>
          </cell>
        </row>
        <row r="1931">
          <cell r="R1931">
            <v>4.5600000000000002E-2</v>
          </cell>
        </row>
        <row r="1932">
          <cell r="R1932">
            <v>2.0299999999999999E-2</v>
          </cell>
        </row>
        <row r="1933">
          <cell r="R1933">
            <v>1.01E-2</v>
          </cell>
        </row>
        <row r="1934">
          <cell r="R1934">
            <v>1.52E-2</v>
          </cell>
        </row>
        <row r="1935">
          <cell r="R1935">
            <v>4.5600000000000002E-2</v>
          </cell>
        </row>
        <row r="1936">
          <cell r="R1936">
            <v>4.5600000000000002E-2</v>
          </cell>
        </row>
        <row r="1937">
          <cell r="R1937">
            <v>3.5499999999999997E-2</v>
          </cell>
        </row>
        <row r="1938">
          <cell r="R1938">
            <v>3.5499999999999997E-2</v>
          </cell>
        </row>
        <row r="1939">
          <cell r="R1939">
            <v>4.0599999999999997E-2</v>
          </cell>
        </row>
        <row r="1940">
          <cell r="R1940">
            <v>4.0599999999999997E-2</v>
          </cell>
        </row>
        <row r="1941">
          <cell r="R1941">
            <v>3.5499999999999997E-2</v>
          </cell>
        </row>
        <row r="1942">
          <cell r="R1942">
            <v>4.5600000000000002E-2</v>
          </cell>
        </row>
        <row r="1943">
          <cell r="R1943">
            <v>4.5600000000000002E-2</v>
          </cell>
        </row>
        <row r="1944">
          <cell r="R1944">
            <v>4.5600000000000002E-2</v>
          </cell>
        </row>
        <row r="1945">
          <cell r="R1945">
            <v>5.0700000000000002E-2</v>
          </cell>
        </row>
        <row r="1946">
          <cell r="R1946">
            <v>4.5600000000000002E-2</v>
          </cell>
        </row>
        <row r="1947">
          <cell r="R1947">
            <v>4.5600000000000002E-2</v>
          </cell>
        </row>
        <row r="1948">
          <cell r="R1948">
            <v>3.5499999999999997E-2</v>
          </cell>
        </row>
        <row r="1949">
          <cell r="R1949">
            <v>4.0599999999999997E-2</v>
          </cell>
        </row>
        <row r="1950">
          <cell r="R1950">
            <v>4.0599999999999997E-2</v>
          </cell>
        </row>
        <row r="1951">
          <cell r="R1951">
            <v>4.0599999999999997E-2</v>
          </cell>
        </row>
        <row r="1952">
          <cell r="R1952">
            <v>4.5600000000000002E-2</v>
          </cell>
        </row>
        <row r="1953">
          <cell r="R1953">
            <v>4.5600000000000002E-2</v>
          </cell>
        </row>
        <row r="1954">
          <cell r="R1954">
            <v>4.5600000000000002E-2</v>
          </cell>
        </row>
        <row r="1955">
          <cell r="R1955">
            <v>5.0700000000000002E-2</v>
          </cell>
        </row>
        <row r="1956">
          <cell r="R1956">
            <v>5.0700000000000002E-2</v>
          </cell>
        </row>
        <row r="1957">
          <cell r="R1957">
            <v>4.5600000000000002E-2</v>
          </cell>
        </row>
        <row r="1958">
          <cell r="R1958">
            <v>4.5600000000000002E-2</v>
          </cell>
        </row>
        <row r="1959">
          <cell r="R1959">
            <v>4.5600000000000002E-2</v>
          </cell>
        </row>
        <row r="1960">
          <cell r="R1960">
            <v>4.0599999999999997E-2</v>
          </cell>
        </row>
        <row r="1961">
          <cell r="R1961">
            <v>3.04E-2</v>
          </cell>
        </row>
        <row r="1962">
          <cell r="R1962">
            <v>3.5499999999999997E-2</v>
          </cell>
        </row>
        <row r="1963">
          <cell r="R1963">
            <v>3.04E-2</v>
          </cell>
        </row>
        <row r="1964">
          <cell r="R1964">
            <v>3.5499999999999997E-2</v>
          </cell>
        </row>
        <row r="1965">
          <cell r="R1965">
            <v>1.52E-2</v>
          </cell>
        </row>
        <row r="1966">
          <cell r="R1966">
            <v>1.52E-2</v>
          </cell>
        </row>
        <row r="1967">
          <cell r="R1967">
            <v>2.0299999999999999E-2</v>
          </cell>
        </row>
        <row r="1968">
          <cell r="R1968">
            <v>2.0299999999999999E-2</v>
          </cell>
        </row>
        <row r="1969">
          <cell r="R1969">
            <v>2.53E-2</v>
          </cell>
        </row>
        <row r="1970">
          <cell r="R1970">
            <v>3.04E-2</v>
          </cell>
        </row>
        <row r="1971">
          <cell r="R1971">
            <v>3.04E-2</v>
          </cell>
        </row>
        <row r="1972">
          <cell r="R1972">
            <v>3.5499999999999997E-2</v>
          </cell>
        </row>
        <row r="1973">
          <cell r="R1973">
            <v>3.04E-2</v>
          </cell>
        </row>
        <row r="1974">
          <cell r="R1974">
            <v>3.04E-2</v>
          </cell>
        </row>
        <row r="1975">
          <cell r="R1975">
            <v>2.53E-2</v>
          </cell>
        </row>
        <row r="1976">
          <cell r="R1976">
            <v>2.0299999999999999E-2</v>
          </cell>
        </row>
        <row r="1977">
          <cell r="R1977">
            <v>2.53E-2</v>
          </cell>
        </row>
        <row r="1978">
          <cell r="R1978">
            <v>2.53E-2</v>
          </cell>
        </row>
        <row r="1979">
          <cell r="R1979">
            <v>1.52E-2</v>
          </cell>
        </row>
        <row r="1980">
          <cell r="R1980">
            <v>5.1000000000000004E-3</v>
          </cell>
        </row>
        <row r="1981">
          <cell r="R1981">
            <v>1.01E-2</v>
          </cell>
        </row>
        <row r="1982">
          <cell r="R1982">
            <v>5.1000000000000004E-3</v>
          </cell>
        </row>
        <row r="1983">
          <cell r="R1983">
            <v>1.01E-2</v>
          </cell>
        </row>
        <row r="1984">
          <cell r="R1984">
            <v>2.53E-2</v>
          </cell>
        </row>
        <row r="1985">
          <cell r="R1985">
            <v>2.0299999999999999E-2</v>
          </cell>
        </row>
        <row r="1986">
          <cell r="R1986">
            <v>1.52E-2</v>
          </cell>
        </row>
        <row r="1987">
          <cell r="R1987">
            <v>1.52E-2</v>
          </cell>
        </row>
        <row r="1988">
          <cell r="R1988">
            <v>2.0299999999999999E-2</v>
          </cell>
        </row>
        <row r="1989">
          <cell r="R1989">
            <v>2.53E-2</v>
          </cell>
        </row>
        <row r="1990">
          <cell r="R1990">
            <v>2.53E-2</v>
          </cell>
        </row>
        <row r="1991">
          <cell r="R1991">
            <v>2.0299999999999999E-2</v>
          </cell>
        </row>
        <row r="1992">
          <cell r="R1992">
            <v>2.0299999999999999E-2</v>
          </cell>
        </row>
        <row r="1993">
          <cell r="R1993">
            <v>2.0299999999999999E-2</v>
          </cell>
        </row>
        <row r="1994">
          <cell r="R1994">
            <v>2.0299999999999999E-2</v>
          </cell>
        </row>
        <row r="1995">
          <cell r="R1995">
            <v>2.0299999999999999E-2</v>
          </cell>
        </row>
        <row r="1996">
          <cell r="R1996">
            <v>1.52E-2</v>
          </cell>
        </row>
        <row r="1997">
          <cell r="R1997">
            <v>2.0299999999999999E-2</v>
          </cell>
        </row>
        <row r="1998">
          <cell r="R1998">
            <v>2.53E-2</v>
          </cell>
        </row>
        <row r="1999">
          <cell r="R1999">
            <v>3.04E-2</v>
          </cell>
        </row>
        <row r="2000">
          <cell r="R2000">
            <v>3.04E-2</v>
          </cell>
        </row>
        <row r="2001">
          <cell r="R2001">
            <v>3.04E-2</v>
          </cell>
        </row>
        <row r="2002">
          <cell r="R2002">
            <v>2.53E-2</v>
          </cell>
        </row>
        <row r="2003">
          <cell r="R2003">
            <v>3.04E-2</v>
          </cell>
        </row>
        <row r="2004">
          <cell r="R2004">
            <v>3.04E-2</v>
          </cell>
        </row>
        <row r="2005">
          <cell r="R2005">
            <v>3.04E-2</v>
          </cell>
        </row>
        <row r="2006">
          <cell r="R2006">
            <v>2.53E-2</v>
          </cell>
        </row>
        <row r="2007">
          <cell r="R2007">
            <v>3.04E-2</v>
          </cell>
        </row>
        <row r="2008">
          <cell r="R2008">
            <v>3.04E-2</v>
          </cell>
        </row>
        <row r="2009">
          <cell r="R2009">
            <v>3.04E-2</v>
          </cell>
        </row>
        <row r="2010">
          <cell r="R2010">
            <v>3.04E-2</v>
          </cell>
        </row>
        <row r="2011">
          <cell r="R2011">
            <v>3.04E-2</v>
          </cell>
        </row>
        <row r="2012">
          <cell r="R2012">
            <v>3.04E-2</v>
          </cell>
        </row>
        <row r="2013">
          <cell r="R2013">
            <v>3.5499999999999997E-2</v>
          </cell>
        </row>
        <row r="2014">
          <cell r="R2014">
            <v>3.5499999999999997E-2</v>
          </cell>
        </row>
        <row r="2015">
          <cell r="R2015">
            <v>3.04E-2</v>
          </cell>
        </row>
        <row r="2016">
          <cell r="R2016">
            <v>2.53E-2</v>
          </cell>
        </row>
        <row r="2017">
          <cell r="R2017">
            <v>3.04E-2</v>
          </cell>
        </row>
        <row r="2018">
          <cell r="R2018">
            <v>1.52E-2</v>
          </cell>
        </row>
        <row r="2019">
          <cell r="R2019">
            <v>1.01E-2</v>
          </cell>
        </row>
        <row r="2020">
          <cell r="R2020">
            <v>1.01E-2</v>
          </cell>
        </row>
        <row r="2021">
          <cell r="R2021">
            <v>5.1000000000000004E-3</v>
          </cell>
        </row>
        <row r="2022">
          <cell r="R2022">
            <v>2.0299999999999999E-2</v>
          </cell>
        </row>
        <row r="2023">
          <cell r="R2023">
            <v>2.0299999999999999E-2</v>
          </cell>
        </row>
        <row r="2024">
          <cell r="R2024">
            <v>2.53E-2</v>
          </cell>
        </row>
        <row r="2025">
          <cell r="R2025">
            <v>2.0299999999999999E-2</v>
          </cell>
        </row>
        <row r="2026">
          <cell r="R2026">
            <v>2.0299999999999999E-2</v>
          </cell>
        </row>
        <row r="2027">
          <cell r="R2027">
            <v>2.0299999999999999E-2</v>
          </cell>
        </row>
        <row r="2028">
          <cell r="R2028">
            <v>1.52E-2</v>
          </cell>
        </row>
        <row r="2029">
          <cell r="R2029">
            <v>5.1000000000000004E-3</v>
          </cell>
        </row>
        <row r="2030">
          <cell r="R2030">
            <v>1.01E-2</v>
          </cell>
        </row>
        <row r="2031">
          <cell r="R2031">
            <v>2.0299999999999999E-2</v>
          </cell>
        </row>
        <row r="2032">
          <cell r="R2032">
            <v>2.0299999999999999E-2</v>
          </cell>
        </row>
        <row r="2033">
          <cell r="R2033">
            <v>1.52E-2</v>
          </cell>
        </row>
        <row r="2034">
          <cell r="R2034">
            <v>1.52E-2</v>
          </cell>
        </row>
        <row r="2035">
          <cell r="R2035">
            <v>1.52E-2</v>
          </cell>
        </row>
        <row r="2036">
          <cell r="R2036">
            <v>1.52E-2</v>
          </cell>
        </row>
        <row r="2037">
          <cell r="R2037">
            <v>1.52E-2</v>
          </cell>
        </row>
        <row r="2038">
          <cell r="R2038">
            <v>1.01E-2</v>
          </cell>
        </row>
        <row r="2039">
          <cell r="R2039">
            <v>1.01E-2</v>
          </cell>
        </row>
        <row r="2040">
          <cell r="R2040">
            <v>1.52E-2</v>
          </cell>
        </row>
        <row r="2041">
          <cell r="R2041">
            <v>2.0299999999999999E-2</v>
          </cell>
        </row>
        <row r="2042">
          <cell r="R2042">
            <v>2.0299999999999999E-2</v>
          </cell>
        </row>
        <row r="2043">
          <cell r="R2043">
            <v>2.0299999999999999E-2</v>
          </cell>
        </row>
        <row r="2044">
          <cell r="R2044">
            <v>2.53E-2</v>
          </cell>
        </row>
        <row r="2045">
          <cell r="R2045">
            <v>2.53E-2</v>
          </cell>
        </row>
        <row r="2046">
          <cell r="R2046">
            <v>1.52E-2</v>
          </cell>
        </row>
        <row r="2047">
          <cell r="R2047">
            <v>3.04E-2</v>
          </cell>
        </row>
        <row r="2048">
          <cell r="R2048">
            <v>2.0299999999999999E-2</v>
          </cell>
        </row>
        <row r="2049">
          <cell r="R2049">
            <v>2.0299999999999999E-2</v>
          </cell>
        </row>
        <row r="2050">
          <cell r="R2050">
            <v>1.52E-2</v>
          </cell>
        </row>
        <row r="2051">
          <cell r="R2051">
            <v>2.0299999999999999E-2</v>
          </cell>
        </row>
        <row r="2052">
          <cell r="R2052">
            <v>2.0299999999999999E-2</v>
          </cell>
        </row>
        <row r="2053">
          <cell r="R2053">
            <v>2.0299999999999999E-2</v>
          </cell>
        </row>
        <row r="2054">
          <cell r="R2054">
            <v>2.0299999999999999E-2</v>
          </cell>
        </row>
        <row r="2055">
          <cell r="R2055">
            <v>2.53E-2</v>
          </cell>
        </row>
        <row r="2056">
          <cell r="R2056">
            <v>2.53E-2</v>
          </cell>
        </row>
        <row r="2057">
          <cell r="R2057">
            <v>3.04E-2</v>
          </cell>
        </row>
        <row r="2058">
          <cell r="R2058">
            <v>2.53E-2</v>
          </cell>
        </row>
        <row r="2059">
          <cell r="R2059">
            <v>2.53E-2</v>
          </cell>
        </row>
        <row r="2060">
          <cell r="R2060">
            <v>2.53E-2</v>
          </cell>
        </row>
        <row r="2061">
          <cell r="R2061">
            <v>2.53E-2</v>
          </cell>
        </row>
        <row r="2062">
          <cell r="R2062">
            <v>2.0299999999999999E-2</v>
          </cell>
        </row>
        <row r="2063">
          <cell r="R2063">
            <v>1.01E-2</v>
          </cell>
        </row>
        <row r="2064">
          <cell r="R2064">
            <v>1.52E-2</v>
          </cell>
        </row>
        <row r="2065">
          <cell r="R2065">
            <v>1.52E-2</v>
          </cell>
        </row>
        <row r="2066">
          <cell r="R2066">
            <v>2.0299999999999999E-2</v>
          </cell>
        </row>
        <row r="2067">
          <cell r="R2067">
            <v>2.53E-2</v>
          </cell>
        </row>
        <row r="2068">
          <cell r="R2068">
            <v>2.53E-2</v>
          </cell>
        </row>
        <row r="2069">
          <cell r="R2069">
            <v>2.0299999999999999E-2</v>
          </cell>
        </row>
        <row r="2070">
          <cell r="R2070">
            <v>1.52E-2</v>
          </cell>
        </row>
        <row r="2071">
          <cell r="R2071">
            <v>2.0299999999999999E-2</v>
          </cell>
        </row>
        <row r="2072">
          <cell r="R2072">
            <v>2.0299999999999999E-2</v>
          </cell>
        </row>
        <row r="2073">
          <cell r="R2073">
            <v>2.53E-2</v>
          </cell>
        </row>
        <row r="2074">
          <cell r="R2074">
            <v>2.0299999999999999E-2</v>
          </cell>
        </row>
        <row r="2075">
          <cell r="R2075">
            <v>1.01E-2</v>
          </cell>
        </row>
        <row r="2076">
          <cell r="R2076">
            <v>1.52E-2</v>
          </cell>
        </row>
        <row r="2077">
          <cell r="R2077">
            <v>1.01E-2</v>
          </cell>
        </row>
        <row r="2078">
          <cell r="R2078">
            <v>1.01E-2</v>
          </cell>
        </row>
        <row r="2079">
          <cell r="R2079">
            <v>1.01E-2</v>
          </cell>
        </row>
        <row r="2080">
          <cell r="R2080">
            <v>1.01E-2</v>
          </cell>
        </row>
        <row r="2081">
          <cell r="R2081">
            <v>1.52E-2</v>
          </cell>
        </row>
        <row r="2082">
          <cell r="R2082">
            <v>5.1000000000000004E-3</v>
          </cell>
        </row>
        <row r="2083">
          <cell r="R2083">
            <v>1.01E-2</v>
          </cell>
        </row>
        <row r="2084">
          <cell r="R2084">
            <v>0</v>
          </cell>
        </row>
        <row r="2085">
          <cell r="R2085">
            <v>1.01E-2</v>
          </cell>
        </row>
        <row r="2086">
          <cell r="R2086">
            <v>1.01E-2</v>
          </cell>
        </row>
        <row r="2087">
          <cell r="R2087">
            <v>5.1000000000000004E-3</v>
          </cell>
        </row>
        <row r="2088">
          <cell r="R2088">
            <v>1.01E-2</v>
          </cell>
        </row>
        <row r="2089">
          <cell r="R2089">
            <v>5.1000000000000004E-3</v>
          </cell>
        </row>
        <row r="2090">
          <cell r="R2090">
            <v>1.52E-2</v>
          </cell>
        </row>
        <row r="2091">
          <cell r="R2091">
            <v>1.01E-2</v>
          </cell>
        </row>
        <row r="2092">
          <cell r="R2092">
            <v>1.01E-2</v>
          </cell>
        </row>
        <row r="2093">
          <cell r="R2093">
            <v>5.1000000000000004E-3</v>
          </cell>
        </row>
        <row r="2094">
          <cell r="R2094">
            <v>5.1000000000000004E-3</v>
          </cell>
        </row>
        <row r="2095">
          <cell r="R2095">
            <v>5.1000000000000004E-3</v>
          </cell>
        </row>
        <row r="2096">
          <cell r="R2096">
            <v>0</v>
          </cell>
        </row>
        <row r="2097">
          <cell r="R2097">
            <v>5.1000000000000004E-3</v>
          </cell>
        </row>
        <row r="2098">
          <cell r="R2098">
            <v>5.1000000000000004E-3</v>
          </cell>
        </row>
        <row r="2099">
          <cell r="R2099">
            <v>5.1000000000000004E-3</v>
          </cell>
        </row>
        <row r="2100">
          <cell r="R2100">
            <v>1.52E-2</v>
          </cell>
        </row>
        <row r="2101">
          <cell r="R2101">
            <v>2.53E-2</v>
          </cell>
        </row>
        <row r="2102">
          <cell r="R2102">
            <v>2.0299999999999999E-2</v>
          </cell>
        </row>
        <row r="2103">
          <cell r="R2103">
            <v>2.0299999999999999E-2</v>
          </cell>
        </row>
        <row r="2104">
          <cell r="R2104">
            <v>1.01E-2</v>
          </cell>
        </row>
        <row r="2105">
          <cell r="R2105">
            <v>1.52E-2</v>
          </cell>
        </row>
        <row r="2106">
          <cell r="R2106">
            <v>5.1000000000000004E-3</v>
          </cell>
        </row>
        <row r="2107">
          <cell r="R2107">
            <v>5.1000000000000004E-3</v>
          </cell>
        </row>
        <row r="2108">
          <cell r="R2108">
            <v>5.1000000000000004E-3</v>
          </cell>
        </row>
        <row r="2109">
          <cell r="R2109">
            <v>1.01E-2</v>
          </cell>
        </row>
        <row r="2110">
          <cell r="R2110">
            <v>1.01E-2</v>
          </cell>
        </row>
        <row r="2111">
          <cell r="R2111">
            <v>5.1000000000000004E-3</v>
          </cell>
        </row>
        <row r="2112">
          <cell r="R2112">
            <v>5.1000000000000004E-3</v>
          </cell>
        </row>
        <row r="2113">
          <cell r="R2113">
            <v>5.1000000000000004E-3</v>
          </cell>
        </row>
        <row r="2114">
          <cell r="R2114">
            <v>2.0299999999999999E-2</v>
          </cell>
        </row>
        <row r="2115">
          <cell r="R2115">
            <v>2.0299999999999999E-2</v>
          </cell>
        </row>
        <row r="2116">
          <cell r="R2116">
            <v>2.0299999999999999E-2</v>
          </cell>
        </row>
        <row r="2117">
          <cell r="R2117">
            <v>2.0299999999999999E-2</v>
          </cell>
        </row>
        <row r="2118">
          <cell r="R2118">
            <v>2.0299999999999999E-2</v>
          </cell>
        </row>
        <row r="2119">
          <cell r="R2119">
            <v>1.01E-2</v>
          </cell>
        </row>
        <row r="2120">
          <cell r="R2120">
            <v>5.1000000000000004E-3</v>
          </cell>
        </row>
        <row r="2121">
          <cell r="R2121">
            <v>5.1000000000000004E-3</v>
          </cell>
        </row>
        <row r="2122">
          <cell r="R2122">
            <v>5.1000000000000004E-3</v>
          </cell>
        </row>
        <row r="2123">
          <cell r="R2123">
            <v>1.01E-2</v>
          </cell>
        </row>
        <row r="2124">
          <cell r="R2124">
            <v>0</v>
          </cell>
        </row>
        <row r="2125">
          <cell r="R2125">
            <v>0</v>
          </cell>
        </row>
        <row r="2126">
          <cell r="R2126">
            <v>5.1000000000000004E-3</v>
          </cell>
        </row>
        <row r="2127">
          <cell r="R2127">
            <v>5.1000000000000004E-3</v>
          </cell>
        </row>
        <row r="2128">
          <cell r="R2128">
            <v>2.0299999999999999E-2</v>
          </cell>
        </row>
        <row r="2129">
          <cell r="R2129">
            <v>5.1000000000000004E-3</v>
          </cell>
        </row>
        <row r="2130">
          <cell r="R2130">
            <v>1.01E-2</v>
          </cell>
        </row>
        <row r="2131">
          <cell r="R2131">
            <v>1.01E-2</v>
          </cell>
        </row>
        <row r="2132">
          <cell r="R2132">
            <v>1.01E-2</v>
          </cell>
        </row>
        <row r="2133">
          <cell r="R2133">
            <v>5.1000000000000004E-3</v>
          </cell>
        </row>
        <row r="2134">
          <cell r="R2134">
            <v>1.52E-2</v>
          </cell>
        </row>
        <row r="2135">
          <cell r="R2135">
            <v>1.01E-2</v>
          </cell>
        </row>
        <row r="2136">
          <cell r="R2136">
            <v>5.1000000000000004E-3</v>
          </cell>
        </row>
        <row r="2137">
          <cell r="R2137">
            <v>2.53E-2</v>
          </cell>
        </row>
        <row r="2138">
          <cell r="R2138">
            <v>2.53E-2</v>
          </cell>
        </row>
        <row r="2139">
          <cell r="R2139">
            <v>2.0299999999999999E-2</v>
          </cell>
        </row>
        <row r="2140">
          <cell r="R2140">
            <v>1.52E-2</v>
          </cell>
        </row>
        <row r="2141">
          <cell r="R2141">
            <v>5.1000000000000004E-3</v>
          </cell>
        </row>
        <row r="2142">
          <cell r="R2142">
            <v>3.04E-2</v>
          </cell>
        </row>
        <row r="2143">
          <cell r="R2143">
            <v>2.0299999999999999E-2</v>
          </cell>
        </row>
        <row r="2144">
          <cell r="R2144">
            <v>3.5499999999999997E-2</v>
          </cell>
        </row>
        <row r="2145">
          <cell r="R2145">
            <v>2.53E-2</v>
          </cell>
        </row>
        <row r="2146">
          <cell r="R2146">
            <v>2.0299999999999999E-2</v>
          </cell>
        </row>
        <row r="2147">
          <cell r="R2147">
            <v>1.01E-2</v>
          </cell>
        </row>
        <row r="2148">
          <cell r="R2148">
            <v>0</v>
          </cell>
        </row>
        <row r="2149">
          <cell r="R2149">
            <v>0</v>
          </cell>
        </row>
        <row r="2150">
          <cell r="R2150">
            <v>0</v>
          </cell>
        </row>
        <row r="2151">
          <cell r="R2151">
            <v>5.1000000000000004E-3</v>
          </cell>
        </row>
        <row r="2152">
          <cell r="R2152">
            <v>3.5499999999999997E-2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Investment"/>
      <sheetName val="PostInvestment"/>
      <sheetName val="PXLAST_CURMKTCAP_EQYSHOUT"/>
      <sheetName val="BOOKVALUEPERSHARE"/>
    </sheetNames>
    <sheetDataSet>
      <sheetData sheetId="0"/>
      <sheetData sheetId="1">
        <row r="2">
          <cell r="L2">
            <v>0</v>
          </cell>
        </row>
        <row r="3">
          <cell r="L3">
            <v>1.01E-2</v>
          </cell>
        </row>
        <row r="4">
          <cell r="L4">
            <v>2.0299999999999999E-2</v>
          </cell>
        </row>
        <row r="5">
          <cell r="L5">
            <v>0</v>
          </cell>
        </row>
        <row r="6">
          <cell r="L6">
            <v>0</v>
          </cell>
        </row>
        <row r="7">
          <cell r="L7">
            <v>5.1000000000000004E-3</v>
          </cell>
        </row>
        <row r="8">
          <cell r="L8">
            <v>6.0999999999999999E-2</v>
          </cell>
        </row>
        <row r="9">
          <cell r="L9">
            <v>0</v>
          </cell>
        </row>
        <row r="10">
          <cell r="L10">
            <v>-2.0299999999999999E-2</v>
          </cell>
        </row>
        <row r="11">
          <cell r="L11">
            <v>7.1199999999999999E-2</v>
          </cell>
        </row>
        <row r="12">
          <cell r="L12">
            <v>0.1678</v>
          </cell>
        </row>
        <row r="13">
          <cell r="L13">
            <v>0.16270000000000001</v>
          </cell>
        </row>
        <row r="14">
          <cell r="L14">
            <v>0.31030000000000002</v>
          </cell>
        </row>
        <row r="15">
          <cell r="L15">
            <v>0.31540000000000001</v>
          </cell>
        </row>
        <row r="16">
          <cell r="L16">
            <v>0.1983</v>
          </cell>
        </row>
        <row r="17">
          <cell r="L17">
            <v>0.20849999999999999</v>
          </cell>
        </row>
        <row r="18">
          <cell r="L18">
            <v>0.28489999999999999</v>
          </cell>
        </row>
        <row r="19">
          <cell r="L19">
            <v>0.25869999999999999</v>
          </cell>
        </row>
        <row r="20">
          <cell r="L20">
            <v>0.25359999999999999</v>
          </cell>
        </row>
        <row r="21">
          <cell r="L21">
            <v>0.32979999999999998</v>
          </cell>
        </row>
        <row r="22">
          <cell r="L22">
            <v>0.27389999999999998</v>
          </cell>
        </row>
        <row r="23">
          <cell r="L23">
            <v>0.29930000000000001</v>
          </cell>
        </row>
        <row r="24">
          <cell r="L24">
            <v>0.47710000000000002</v>
          </cell>
        </row>
        <row r="25">
          <cell r="L25">
            <v>0.49740000000000001</v>
          </cell>
        </row>
        <row r="26">
          <cell r="L26">
            <v>0.51270000000000004</v>
          </cell>
        </row>
        <row r="27">
          <cell r="L27">
            <v>0.60419999999999996</v>
          </cell>
        </row>
        <row r="28">
          <cell r="L28">
            <v>0.75160000000000005</v>
          </cell>
        </row>
        <row r="29">
          <cell r="L29">
            <v>0.7923</v>
          </cell>
        </row>
        <row r="30">
          <cell r="L30">
            <v>0.97060000000000002</v>
          </cell>
        </row>
        <row r="31">
          <cell r="L31">
            <v>1.0113000000000001</v>
          </cell>
        </row>
        <row r="32">
          <cell r="L32">
            <v>1.0724</v>
          </cell>
        </row>
        <row r="33">
          <cell r="L33">
            <v>0.99099999999999999</v>
          </cell>
        </row>
        <row r="34">
          <cell r="L34">
            <v>1.0405</v>
          </cell>
        </row>
        <row r="35">
          <cell r="L35">
            <v>1.1312</v>
          </cell>
        </row>
        <row r="36">
          <cell r="L36">
            <v>1.256</v>
          </cell>
        </row>
        <row r="37">
          <cell r="L37">
            <v>1.3756999999999999</v>
          </cell>
        </row>
        <row r="38">
          <cell r="L38">
            <v>1.4551000000000001</v>
          </cell>
        </row>
        <row r="39">
          <cell r="L39">
            <v>1.6517999999999999</v>
          </cell>
        </row>
        <row r="40">
          <cell r="L40">
            <v>1.7000999999999999</v>
          </cell>
        </row>
        <row r="41">
          <cell r="L41">
            <v>1.7996000000000001</v>
          </cell>
        </row>
        <row r="42">
          <cell r="L42">
            <v>1.8946000000000001</v>
          </cell>
        </row>
        <row r="43">
          <cell r="L43">
            <v>1.9123000000000001</v>
          </cell>
        </row>
        <row r="44">
          <cell r="L44">
            <v>2.0203000000000002</v>
          </cell>
        </row>
        <row r="45">
          <cell r="L45">
            <v>2.0937999999999999</v>
          </cell>
        </row>
        <row r="46">
          <cell r="L46">
            <v>2.1964000000000001</v>
          </cell>
        </row>
        <row r="47">
          <cell r="L47">
            <v>2.3250999999999999</v>
          </cell>
        </row>
        <row r="48">
          <cell r="L48">
            <v>2.3424</v>
          </cell>
        </row>
        <row r="49">
          <cell r="L49">
            <v>2.3549000000000002</v>
          </cell>
        </row>
        <row r="50">
          <cell r="L50">
            <v>2.3839000000000001</v>
          </cell>
        </row>
        <row r="51">
          <cell r="L51">
            <v>2.4325999999999999</v>
          </cell>
        </row>
        <row r="52">
          <cell r="L52">
            <v>2.3809</v>
          </cell>
        </row>
        <row r="53">
          <cell r="L53">
            <v>2.4098999999999999</v>
          </cell>
        </row>
        <row r="54">
          <cell r="L54">
            <v>2.3399000000000001</v>
          </cell>
        </row>
        <row r="55">
          <cell r="L55">
            <v>2.0868000000000002</v>
          </cell>
        </row>
        <row r="56">
          <cell r="L56">
            <v>2.0615999999999999</v>
          </cell>
        </row>
        <row r="57">
          <cell r="L57">
            <v>1.9764999999999999</v>
          </cell>
        </row>
        <row r="58">
          <cell r="L58">
            <v>1.8070999999999999</v>
          </cell>
        </row>
        <row r="59">
          <cell r="L59">
            <v>1.524</v>
          </cell>
        </row>
        <row r="60">
          <cell r="L60">
            <v>1.5671999999999999</v>
          </cell>
        </row>
        <row r="61">
          <cell r="L61">
            <v>1.5436000000000001</v>
          </cell>
        </row>
        <row r="62">
          <cell r="L62">
            <v>1.5382</v>
          </cell>
        </row>
        <row r="63">
          <cell r="L63">
            <v>1.2669999999999999</v>
          </cell>
        </row>
        <row r="64">
          <cell r="L64">
            <v>6.0999999999999999E-2</v>
          </cell>
        </row>
        <row r="65">
          <cell r="L65">
            <v>7.8799999999999995E-2</v>
          </cell>
        </row>
        <row r="66">
          <cell r="L66">
            <v>0.1246</v>
          </cell>
        </row>
        <row r="67">
          <cell r="L67">
            <v>0.1293</v>
          </cell>
        </row>
        <row r="68">
          <cell r="L68">
            <v>8.3699999999999997E-2</v>
          </cell>
        </row>
        <row r="69">
          <cell r="L69">
            <v>9.3799999999999994E-2</v>
          </cell>
        </row>
        <row r="70">
          <cell r="L70">
            <v>9.1499999999999998E-2</v>
          </cell>
        </row>
        <row r="71">
          <cell r="L71">
            <v>8.6400000000000005E-2</v>
          </cell>
        </row>
        <row r="72">
          <cell r="L72">
            <v>7.1199999999999999E-2</v>
          </cell>
        </row>
        <row r="73">
          <cell r="L73">
            <v>5.8299999999999998E-2</v>
          </cell>
        </row>
        <row r="74">
          <cell r="L74">
            <v>4.82E-2</v>
          </cell>
        </row>
        <row r="75">
          <cell r="L75">
            <v>3.3000000000000002E-2</v>
          </cell>
        </row>
        <row r="76">
          <cell r="L76">
            <v>1.52E-2</v>
          </cell>
        </row>
        <row r="77">
          <cell r="L77">
            <v>2.5000000000000001E-3</v>
          </cell>
        </row>
        <row r="78">
          <cell r="L78">
            <v>2.5000000000000001E-3</v>
          </cell>
        </row>
        <row r="79">
          <cell r="L79">
            <v>4.0599999999999997E-2</v>
          </cell>
        </row>
        <row r="80">
          <cell r="L80">
            <v>4.0599999999999997E-2</v>
          </cell>
        </row>
        <row r="81">
          <cell r="L81">
            <v>3.5499999999999997E-2</v>
          </cell>
        </row>
        <row r="82">
          <cell r="L82">
            <v>3.3000000000000002E-2</v>
          </cell>
        </row>
        <row r="83">
          <cell r="L83">
            <v>4.82E-2</v>
          </cell>
        </row>
        <row r="84">
          <cell r="L84">
            <v>4.5600000000000002E-2</v>
          </cell>
        </row>
        <row r="85">
          <cell r="L85">
            <v>3.04E-2</v>
          </cell>
        </row>
        <row r="86">
          <cell r="L86">
            <v>0.18</v>
          </cell>
        </row>
        <row r="87">
          <cell r="L87">
            <v>0.29170000000000001</v>
          </cell>
        </row>
        <row r="88">
          <cell r="L88">
            <v>0.48220000000000002</v>
          </cell>
        </row>
        <row r="89">
          <cell r="L89">
            <v>0.82289999999999996</v>
          </cell>
        </row>
        <row r="90">
          <cell r="L90">
            <v>1.0391999999999999</v>
          </cell>
        </row>
        <row r="91">
          <cell r="L91">
            <v>1.6262000000000001</v>
          </cell>
        </row>
        <row r="92">
          <cell r="L92">
            <v>2.3168000000000002</v>
          </cell>
        </row>
        <row r="93">
          <cell r="L93">
            <v>2.9003000000000001</v>
          </cell>
        </row>
        <row r="94">
          <cell r="L94">
            <v>3.2465999999999999</v>
          </cell>
        </row>
        <row r="95">
          <cell r="L95">
            <v>4.0559000000000003</v>
          </cell>
        </row>
        <row r="96">
          <cell r="L96">
            <v>4.3196000000000003</v>
          </cell>
        </row>
        <row r="97">
          <cell r="L97">
            <v>4.3429000000000002</v>
          </cell>
        </row>
        <row r="98">
          <cell r="L98">
            <v>4.6414999999999997</v>
          </cell>
        </row>
        <row r="99">
          <cell r="L99">
            <v>4.7686999999999999</v>
          </cell>
        </row>
        <row r="100">
          <cell r="L100">
            <v>4.6929999999999996</v>
          </cell>
        </row>
        <row r="101">
          <cell r="L101">
            <v>5.0301999999999998</v>
          </cell>
        </row>
        <row r="102">
          <cell r="L102">
            <v>5.3883999999999999</v>
          </cell>
        </row>
        <row r="103">
          <cell r="L103">
            <v>5.2835999999999999</v>
          </cell>
        </row>
        <row r="104">
          <cell r="L104">
            <v>5.4001000000000001</v>
          </cell>
        </row>
        <row r="105">
          <cell r="L105">
            <v>5.4353999999999996</v>
          </cell>
        </row>
        <row r="106">
          <cell r="L106">
            <v>5.4459</v>
          </cell>
        </row>
        <row r="107">
          <cell r="L107">
            <v>5.4622999999999999</v>
          </cell>
        </row>
        <row r="108">
          <cell r="L108">
            <v>5.3875999999999999</v>
          </cell>
        </row>
        <row r="109">
          <cell r="L109">
            <v>5.3323</v>
          </cell>
        </row>
        <row r="110">
          <cell r="L110">
            <v>5.3597000000000001</v>
          </cell>
        </row>
        <row r="111">
          <cell r="L111">
            <v>5.3798000000000004</v>
          </cell>
        </row>
        <row r="112">
          <cell r="L112">
            <v>5.3617999999999997</v>
          </cell>
        </row>
        <row r="113">
          <cell r="L113">
            <v>5.3917999999999999</v>
          </cell>
        </row>
        <row r="114">
          <cell r="L114">
            <v>5.4009</v>
          </cell>
        </row>
        <row r="115">
          <cell r="L115">
            <v>5.3548999999999998</v>
          </cell>
        </row>
        <row r="116">
          <cell r="L116">
            <v>5.2839999999999998</v>
          </cell>
        </row>
        <row r="117">
          <cell r="L117">
            <v>5.1116999999999999</v>
          </cell>
        </row>
        <row r="118">
          <cell r="L118">
            <v>4.6169000000000002</v>
          </cell>
        </row>
        <row r="119">
          <cell r="L119">
            <v>4.5418000000000003</v>
          </cell>
        </row>
        <row r="120">
          <cell r="L120">
            <v>4.4858000000000002</v>
          </cell>
        </row>
        <row r="121">
          <cell r="L121">
            <v>4.3144</v>
          </cell>
        </row>
        <row r="122">
          <cell r="L122">
            <v>4.2839</v>
          </cell>
        </row>
        <row r="123">
          <cell r="L123">
            <v>4.2942</v>
          </cell>
        </row>
        <row r="124">
          <cell r="L124">
            <v>4.2937000000000003</v>
          </cell>
        </row>
        <row r="125">
          <cell r="L125">
            <v>4.2858999999999998</v>
          </cell>
        </row>
        <row r="126">
          <cell r="L126">
            <v>4.3330000000000002</v>
          </cell>
        </row>
        <row r="127">
          <cell r="L127">
            <v>4.2911000000000001</v>
          </cell>
        </row>
        <row r="128">
          <cell r="L128">
            <v>4.3372000000000002</v>
          </cell>
        </row>
        <row r="129">
          <cell r="L129">
            <v>4.1391</v>
          </cell>
        </row>
        <row r="130">
          <cell r="L130">
            <v>3.9323000000000001</v>
          </cell>
        </row>
        <row r="131">
          <cell r="L131">
            <v>3.8007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6"/>
  <sheetViews>
    <sheetView tabSelected="1" topLeftCell="L10" zoomScale="117" workbookViewId="0">
      <selection activeCell="Q50" sqref="Q50"/>
    </sheetView>
  </sheetViews>
  <sheetFormatPr baseColWidth="10" defaultColWidth="8.83203125" defaultRowHeight="15" x14ac:dyDescent="0.2"/>
  <cols>
    <col min="1" max="1" width="10.5" bestFit="1" customWidth="1"/>
    <col min="13" max="13" width="14.83203125" bestFit="1" customWidth="1"/>
    <col min="14" max="19" width="11.83203125" customWidth="1"/>
    <col min="21" max="21" width="24" bestFit="1" customWidth="1"/>
  </cols>
  <sheetData>
    <row r="1" spans="1:21" s="5" customFormat="1" x14ac:dyDescent="0.2">
      <c r="A1" s="9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s="6" t="s">
        <v>3</v>
      </c>
      <c r="N1" s="10">
        <v>1.63981201923077E-2</v>
      </c>
      <c r="U1" s="8">
        <f>AVERAGE([1]PreInvestment!$R$2:$R$2152)</f>
        <v>1.0788768944676803</v>
      </c>
    </row>
    <row r="2" spans="1:21" x14ac:dyDescent="0.2">
      <c r="A2" s="9">
        <v>38868</v>
      </c>
      <c r="B2">
        <v>9.3049999999999997</v>
      </c>
      <c r="C2">
        <v>22.65</v>
      </c>
      <c r="D2">
        <v>4.4939999999999998</v>
      </c>
      <c r="E2">
        <v>38.119999999999997</v>
      </c>
      <c r="F2">
        <v>1936.41</v>
      </c>
      <c r="U2">
        <f>AVERAGE([2]PostInvestment!$L$2:$L$105)</f>
        <v>1.2911471153846148</v>
      </c>
    </row>
    <row r="3" spans="1:21" x14ac:dyDescent="0.2">
      <c r="A3" s="9">
        <v>38898</v>
      </c>
      <c r="B3">
        <v>10.493</v>
      </c>
      <c r="C3">
        <v>23.3</v>
      </c>
      <c r="D3">
        <v>4.8</v>
      </c>
      <c r="E3">
        <v>35.935000000000002</v>
      </c>
      <c r="F3">
        <v>1939.03</v>
      </c>
      <c r="H3" s="3">
        <f>B3/B2-1</f>
        <v>0.12767329392799587</v>
      </c>
      <c r="I3" s="3">
        <f t="shared" ref="I3:L3" si="0">C3/C2-1</f>
        <v>2.8697571743929506E-2</v>
      </c>
      <c r="J3" s="3">
        <f t="shared" si="0"/>
        <v>6.809078771695587E-2</v>
      </c>
      <c r="K3" s="3">
        <f t="shared" si="0"/>
        <v>-5.7318992654774248E-2</v>
      </c>
      <c r="L3" s="3">
        <f t="shared" si="0"/>
        <v>1.3530192469568547E-3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  <c r="U3">
        <f>AVERAGE([2]PostInvestment!$L$2:$L$131)</f>
        <v>1.9884769230769224</v>
      </c>
    </row>
    <row r="4" spans="1:21" x14ac:dyDescent="0.2">
      <c r="A4" s="9">
        <v>38929</v>
      </c>
      <c r="B4">
        <v>9.6739999999999995</v>
      </c>
      <c r="C4">
        <v>24.06</v>
      </c>
      <c r="D4">
        <v>4.5869999999999997</v>
      </c>
      <c r="E4">
        <v>34.85</v>
      </c>
      <c r="F4">
        <v>1951</v>
      </c>
      <c r="H4" s="3">
        <f t="shared" ref="H4:H67" si="1">B4/B3-1</f>
        <v>-7.805203468979327E-2</v>
      </c>
      <c r="I4" s="3">
        <f t="shared" ref="I4:I67" si="2">C4/C3-1</f>
        <v>3.2618025751072866E-2</v>
      </c>
      <c r="J4" s="3">
        <f t="shared" ref="J4:J67" si="3">D4/D3-1</f>
        <v>-4.4375000000000053E-2</v>
      </c>
      <c r="K4" s="3">
        <f t="shared" ref="K4:K67" si="4">E4/E3-1</f>
        <v>-3.0193404758591891E-2</v>
      </c>
      <c r="L4" s="3">
        <f t="shared" ref="L4:L67" si="5">F4/F3-1</f>
        <v>6.1731896876273673E-3</v>
      </c>
      <c r="M4" s="1" t="s">
        <v>0</v>
      </c>
      <c r="N4" s="3">
        <f>(B105/B2)^(1/10)-1</f>
        <v>0.11047042863066214</v>
      </c>
      <c r="O4" s="3">
        <f t="shared" ref="O4:R4" si="6">(C105/C2)^(1/10)-1</f>
        <v>9.5462124573068463E-2</v>
      </c>
      <c r="P4" s="3">
        <f t="shared" si="6"/>
        <v>0.34741881536394925</v>
      </c>
      <c r="Q4" s="3">
        <f t="shared" si="6"/>
        <v>0.13304120605094893</v>
      </c>
      <c r="R4" s="3">
        <f t="shared" si="6"/>
        <v>6.887753799873364E-2</v>
      </c>
      <c r="U4">
        <f>AVERAGE(U2:U3)</f>
        <v>1.6398120192307686</v>
      </c>
    </row>
    <row r="5" spans="1:21" x14ac:dyDescent="0.2">
      <c r="A5" s="9">
        <v>38960</v>
      </c>
      <c r="B5">
        <v>9.4719999999999995</v>
      </c>
      <c r="C5">
        <v>25.793900000000001</v>
      </c>
      <c r="D5">
        <v>5.59</v>
      </c>
      <c r="E5">
        <v>34.429000000000002</v>
      </c>
      <c r="F5">
        <v>1997.42</v>
      </c>
      <c r="H5" s="3">
        <f t="shared" si="1"/>
        <v>-2.0880711184618539E-2</v>
      </c>
      <c r="I5" s="3">
        <f t="shared" si="2"/>
        <v>7.2065669160432444E-2</v>
      </c>
      <c r="J5" s="3">
        <f t="shared" si="3"/>
        <v>0.21866143448877273</v>
      </c>
      <c r="K5" s="3">
        <f t="shared" si="4"/>
        <v>-1.2080344332855097E-2</v>
      </c>
      <c r="L5" s="3">
        <f t="shared" si="5"/>
        <v>2.3792926704254258E-2</v>
      </c>
      <c r="M5" s="1" t="s">
        <v>1</v>
      </c>
      <c r="N5" s="4">
        <f>SLOPE(H3:H105,$L3:$L105)</f>
        <v>1.0863866804285287</v>
      </c>
      <c r="O5" s="4">
        <f t="shared" ref="O5:R5" si="7">SLOPE(I3:I105,$L3:$L105)</f>
        <v>0.96083387736312831</v>
      </c>
      <c r="P5" s="4">
        <f t="shared" si="7"/>
        <v>1.0060379387695497</v>
      </c>
      <c r="Q5" s="4">
        <f t="shared" si="7"/>
        <v>0.83406101804211563</v>
      </c>
      <c r="R5" s="4">
        <f t="shared" si="7"/>
        <v>1</v>
      </c>
    </row>
    <row r="6" spans="1:21" x14ac:dyDescent="0.2">
      <c r="A6" s="9">
        <v>38989</v>
      </c>
      <c r="B6">
        <v>10.057</v>
      </c>
      <c r="C6">
        <v>27.45</v>
      </c>
      <c r="D6">
        <v>7.0350000000000001</v>
      </c>
      <c r="E6">
        <v>36.573999999999998</v>
      </c>
      <c r="F6">
        <v>2048.8899000000001</v>
      </c>
      <c r="H6" s="3">
        <f t="shared" si="1"/>
        <v>6.1760979729729826E-2</v>
      </c>
      <c r="I6" s="3">
        <f t="shared" si="2"/>
        <v>6.4205102756853316E-2</v>
      </c>
      <c r="J6" s="3">
        <f t="shared" si="3"/>
        <v>0.2584973166368516</v>
      </c>
      <c r="K6" s="3">
        <f t="shared" si="4"/>
        <v>6.2302129019140784E-2</v>
      </c>
      <c r="L6" s="3">
        <f t="shared" si="5"/>
        <v>2.5768190966346527E-2</v>
      </c>
      <c r="M6" s="1" t="s">
        <v>2</v>
      </c>
      <c r="N6" s="3">
        <f>$N1 + N5*($R4-$N1)</f>
        <v>7.3411060693852587E-2</v>
      </c>
      <c r="O6" s="3">
        <f>$N1 + O5*($R4-$N1)</f>
        <v>6.6822122685015528E-2</v>
      </c>
      <c r="P6" s="3">
        <f>$N1 + P5*($R4-$N1)</f>
        <v>6.9194405510110454E-2</v>
      </c>
      <c r="Q6" s="3">
        <f>$N1 + Q5*($R4-$N1)</f>
        <v>6.0169156834192848E-2</v>
      </c>
      <c r="R6" s="3"/>
    </row>
    <row r="7" spans="1:21" x14ac:dyDescent="0.2">
      <c r="A7" s="9">
        <v>39021</v>
      </c>
      <c r="B7">
        <v>11.920999999999999</v>
      </c>
      <c r="C7">
        <v>28.815000000000001</v>
      </c>
      <c r="D7">
        <v>7.4189999999999996</v>
      </c>
      <c r="E7">
        <v>37.643000000000001</v>
      </c>
      <c r="F7">
        <v>2115.6498999999999</v>
      </c>
      <c r="H7" s="3">
        <f t="shared" si="1"/>
        <v>0.18534354181167334</v>
      </c>
      <c r="I7" s="3">
        <f t="shared" si="2"/>
        <v>4.9726775956284275E-2</v>
      </c>
      <c r="J7" s="3">
        <f t="shared" si="3"/>
        <v>5.4584221748400719E-2</v>
      </c>
      <c r="K7" s="3">
        <f t="shared" si="4"/>
        <v>2.9228413627166994E-2</v>
      </c>
      <c r="L7" s="3">
        <f t="shared" si="5"/>
        <v>3.2583498020074098E-2</v>
      </c>
    </row>
    <row r="8" spans="1:21" x14ac:dyDescent="0.2">
      <c r="A8" s="9">
        <v>39051</v>
      </c>
      <c r="B8">
        <v>12.132</v>
      </c>
      <c r="C8">
        <v>29.568200000000001</v>
      </c>
      <c r="D8">
        <v>10.188000000000001</v>
      </c>
      <c r="E8">
        <v>38.521000000000001</v>
      </c>
      <c r="F8">
        <v>2155.8899000000001</v>
      </c>
      <c r="H8" s="3">
        <f t="shared" si="1"/>
        <v>1.7699857394513963E-2</v>
      </c>
      <c r="I8" s="3">
        <f t="shared" si="2"/>
        <v>2.6139163630053863E-2</v>
      </c>
      <c r="J8" s="3">
        <f t="shared" si="3"/>
        <v>0.37323089365143569</v>
      </c>
      <c r="K8" s="3">
        <f t="shared" si="4"/>
        <v>2.3324389660760225E-2</v>
      </c>
      <c r="L8" s="3">
        <f t="shared" si="5"/>
        <v>1.9020160188129465E-2</v>
      </c>
      <c r="M8" s="1" t="s">
        <v>4</v>
      </c>
      <c r="N8" s="1">
        <v>1</v>
      </c>
      <c r="O8" s="1">
        <v>2</v>
      </c>
      <c r="P8" s="1">
        <v>3</v>
      </c>
      <c r="Q8" s="1">
        <v>4</v>
      </c>
      <c r="R8" s="1"/>
    </row>
    <row r="9" spans="1:21" x14ac:dyDescent="0.2">
      <c r="A9" s="9">
        <v>39080</v>
      </c>
      <c r="B9">
        <v>11.523</v>
      </c>
      <c r="C9">
        <v>30.0717</v>
      </c>
      <c r="D9">
        <v>9.8610000000000007</v>
      </c>
      <c r="E9">
        <v>40.741999999999997</v>
      </c>
      <c r="F9">
        <v>2186.1298999999999</v>
      </c>
      <c r="H9" s="3">
        <f t="shared" si="1"/>
        <v>-5.0197823936696362E-2</v>
      </c>
      <c r="I9" s="3">
        <f t="shared" si="2"/>
        <v>1.7028429190819816E-2</v>
      </c>
      <c r="J9" s="3">
        <f t="shared" si="3"/>
        <v>-3.2096584216725565E-2</v>
      </c>
      <c r="K9" s="3">
        <f t="shared" si="4"/>
        <v>5.7656862490589544E-2</v>
      </c>
      <c r="L9" s="3">
        <f t="shared" si="5"/>
        <v>1.4026690324028035E-2</v>
      </c>
      <c r="M9" s="1">
        <v>1</v>
      </c>
      <c r="N9" s="4">
        <f>_xlfn.COVARIANCE.S(INDEX($H$3:$K$3,N$8):INDEX($H$105:$K$105,N$8),INDEX($H$3:$K$3,$M9):INDEX($H$105:$K$105,$M9))*52</f>
        <v>0.40475662765806214</v>
      </c>
      <c r="O9" s="4">
        <f>_xlfn.COVARIANCE.S(INDEX($H$3:$K$3,O$8):INDEX($H$105:$K$105,O$8),INDEX($H$3:$K$3,$M9):INDEX($H$105:$K$105,$M9))*52</f>
        <v>0.15755066302754131</v>
      </c>
      <c r="P9" s="4">
        <f>_xlfn.COVARIANCE.S(INDEX($H$3:$K$3,P$8):INDEX($H$105:$K$105,P$8),INDEX($H$3:$K$3,$M9):INDEX($H$105:$K$105,$M9))*52</f>
        <v>0.21806955444122061</v>
      </c>
      <c r="Q9" s="4">
        <f>_xlfn.COVARIANCE.S(INDEX($H$3:$K$3,Q$8):INDEX($H$105:$K$105,Q$8),INDEX($H$3:$K$3,$M9):INDEX($H$105:$K$105,$M9))*52</f>
        <v>6.2942039218291196E-2</v>
      </c>
      <c r="R9" s="4"/>
    </row>
    <row r="10" spans="1:21" x14ac:dyDescent="0.2">
      <c r="A10" s="9">
        <v>39113</v>
      </c>
      <c r="B10">
        <v>12.55</v>
      </c>
      <c r="C10">
        <v>31.078800000000001</v>
      </c>
      <c r="D10">
        <v>11.178000000000001</v>
      </c>
      <c r="E10">
        <v>41.331000000000003</v>
      </c>
      <c r="F10">
        <v>2219.1898999999999</v>
      </c>
      <c r="H10" s="3">
        <f t="shared" si="1"/>
        <v>8.9126095634817437E-2</v>
      </c>
      <c r="I10" s="3">
        <f t="shared" si="2"/>
        <v>3.3489958997994895E-2</v>
      </c>
      <c r="J10" s="3">
        <f t="shared" si="3"/>
        <v>0.13355643443869791</v>
      </c>
      <c r="K10" s="3">
        <f t="shared" si="4"/>
        <v>1.4456825879927582E-2</v>
      </c>
      <c r="L10" s="3">
        <f t="shared" si="5"/>
        <v>1.5122614625965314E-2</v>
      </c>
      <c r="M10" s="1">
        <v>2</v>
      </c>
      <c r="N10" s="4">
        <f>_xlfn.COVARIANCE.S(INDEX($H$3:$K$3,N$8):INDEX($H$105:$K$105,N$8),INDEX($H$3:$K$3,$M10):INDEX($H$105:$K$105,$M10))*52</f>
        <v>0.15755066302754131</v>
      </c>
      <c r="O10" s="4">
        <f>_xlfn.COVARIANCE.S(INDEX($H$3:$K$3,O$8):INDEX($H$105:$K$105,O$8),INDEX($H$3:$K$3,$M10):INDEX($H$105:$K$105,$M10))*52</f>
        <v>0.24205074520349351</v>
      </c>
      <c r="P10" s="4">
        <f>_xlfn.COVARIANCE.S(INDEX($H$3:$K$3,P$8):INDEX($H$105:$K$105,P$8),INDEX($H$3:$K$3,$M10):INDEX($H$105:$K$105,$M10))*52</f>
        <v>0.13449342981168963</v>
      </c>
      <c r="Q10" s="4">
        <f>_xlfn.COVARIANCE.S(INDEX($H$3:$K$3,Q$8):INDEX($H$105:$K$105,Q$8),INDEX($H$3:$K$3,$M10):INDEX($H$105:$K$105,$M10))*52</f>
        <v>9.0794805936372916E-2</v>
      </c>
      <c r="R10" s="4"/>
    </row>
    <row r="11" spans="1:21" x14ac:dyDescent="0.2">
      <c r="A11" s="9">
        <v>39141</v>
      </c>
      <c r="B11">
        <v>11.247</v>
      </c>
      <c r="C11">
        <v>28.467500000000001</v>
      </c>
      <c r="D11">
        <v>10.741</v>
      </c>
      <c r="E11">
        <v>40.164000000000001</v>
      </c>
      <c r="F11">
        <v>2175.7800000000002</v>
      </c>
      <c r="H11" s="3">
        <f t="shared" si="1"/>
        <v>-0.10382470119521914</v>
      </c>
      <c r="I11" s="3">
        <f t="shared" si="2"/>
        <v>-8.402190560768108E-2</v>
      </c>
      <c r="J11" s="3">
        <f t="shared" si="3"/>
        <v>-3.9094650205761416E-2</v>
      </c>
      <c r="K11" s="3">
        <f t="shared" si="4"/>
        <v>-2.8235464905276952E-2</v>
      </c>
      <c r="L11" s="3">
        <f t="shared" si="5"/>
        <v>-1.9561147065422224E-2</v>
      </c>
      <c r="M11" s="1">
        <v>3</v>
      </c>
      <c r="N11" s="4">
        <f>_xlfn.COVARIANCE.S(INDEX($H$3:$K$3,N$8):INDEX($H$105:$K$105,N$8),INDEX($H$3:$K$3,$M11):INDEX($H$105:$K$105,$M11))*52</f>
        <v>0.21806955444122061</v>
      </c>
      <c r="O11" s="4">
        <f>_xlfn.COVARIANCE.S(INDEX($H$3:$K$3,O$8):INDEX($H$105:$K$105,O$8),INDEX($H$3:$K$3,$M11):INDEX($H$105:$K$105,$M11))*52</f>
        <v>0.13449342981168963</v>
      </c>
      <c r="P11" s="4">
        <f>_xlfn.COVARIANCE.S(INDEX($H$3:$K$3,P$8):INDEX($H$105:$K$105,P$8),INDEX($H$3:$K$3,$M11):INDEX($H$105:$K$105,$M11))*52</f>
        <v>0.52247486238128893</v>
      </c>
      <c r="Q11" s="4">
        <f>_xlfn.COVARIANCE.S(INDEX($H$3:$K$3,Q$8):INDEX($H$105:$K$105,Q$8),INDEX($H$3:$K$3,$M11):INDEX($H$105:$K$105,$M11))*52</f>
        <v>7.8697166677297509E-2</v>
      </c>
      <c r="R11" s="4"/>
    </row>
    <row r="12" spans="1:21" x14ac:dyDescent="0.2">
      <c r="A12" s="9">
        <v>39171</v>
      </c>
      <c r="B12">
        <v>11.465</v>
      </c>
      <c r="C12">
        <v>28.164300000000001</v>
      </c>
      <c r="D12">
        <v>10.646000000000001</v>
      </c>
      <c r="E12">
        <v>37.488999999999997</v>
      </c>
      <c r="F12">
        <v>2200.1201000000001</v>
      </c>
      <c r="H12" s="3">
        <f t="shared" si="1"/>
        <v>1.9382946563528014E-2</v>
      </c>
      <c r="I12" s="3">
        <f t="shared" si="2"/>
        <v>-1.0650742074295283E-2</v>
      </c>
      <c r="J12" s="3">
        <f t="shared" si="3"/>
        <v>-8.8446140955217301E-3</v>
      </c>
      <c r="K12" s="3">
        <f t="shared" si="4"/>
        <v>-6.660193207847831E-2</v>
      </c>
      <c r="L12" s="3">
        <f t="shared" si="5"/>
        <v>1.1186838742887506E-2</v>
      </c>
      <c r="M12" s="1">
        <v>4</v>
      </c>
      <c r="N12" s="4">
        <f>_xlfn.COVARIANCE.S(INDEX($H$3:$K$3,N$8):INDEX($H$105:$K$105,N$8),INDEX($H$3:$K$3,$M12):INDEX($H$105:$K$105,$M12))*52</f>
        <v>6.2942039218291196E-2</v>
      </c>
      <c r="O12" s="4">
        <f>_xlfn.COVARIANCE.S(INDEX($H$3:$K$3,O$8):INDEX($H$105:$K$105,O$8),INDEX($H$3:$K$3,$M12):INDEX($H$105:$K$105,$M12))*52</f>
        <v>9.0794805936372916E-2</v>
      </c>
      <c r="P12" s="4">
        <f>_xlfn.COVARIANCE.S(INDEX($H$3:$K$3,P$8):INDEX($H$105:$K$105,P$8),INDEX($H$3:$K$3,$M12):INDEX($H$105:$K$105,$M12))*52</f>
        <v>7.8697166677297509E-2</v>
      </c>
      <c r="Q12" s="4">
        <f>_xlfn.COVARIANCE.S(INDEX($H$3:$K$3,Q$8):INDEX($H$105:$K$105,Q$8),INDEX($H$3:$K$3,$M12):INDEX($H$105:$K$105,$M12))*52</f>
        <v>0.22833595742166571</v>
      </c>
      <c r="R12" s="4"/>
    </row>
    <row r="13" spans="1:21" x14ac:dyDescent="0.2">
      <c r="A13" s="9">
        <v>39202</v>
      </c>
      <c r="B13">
        <v>11.795999999999999</v>
      </c>
      <c r="C13">
        <v>30.2562</v>
      </c>
      <c r="D13">
        <v>11.207000000000001</v>
      </c>
      <c r="E13">
        <v>38.642000000000003</v>
      </c>
      <c r="F13">
        <v>2297.5700999999999</v>
      </c>
      <c r="H13" s="3">
        <f t="shared" si="1"/>
        <v>2.8870475359790593E-2</v>
      </c>
      <c r="I13" s="3">
        <f t="shared" si="2"/>
        <v>7.4274879901151447E-2</v>
      </c>
      <c r="J13" s="3">
        <f t="shared" si="3"/>
        <v>5.269584820589901E-2</v>
      </c>
      <c r="K13" s="3">
        <f t="shared" si="4"/>
        <v>3.0755688335245113E-2</v>
      </c>
      <c r="L13" s="3">
        <f t="shared" si="5"/>
        <v>4.429303654832295E-2</v>
      </c>
      <c r="M13" s="1"/>
      <c r="N13" s="4"/>
      <c r="O13" s="4"/>
      <c r="P13" s="4"/>
      <c r="Q13" s="4"/>
      <c r="R13" s="4"/>
    </row>
    <row r="14" spans="1:21" x14ac:dyDescent="0.2">
      <c r="A14" s="9">
        <v>39233</v>
      </c>
      <c r="B14">
        <v>12.46</v>
      </c>
      <c r="C14">
        <v>31.114599999999999</v>
      </c>
      <c r="D14">
        <v>15.007</v>
      </c>
      <c r="E14">
        <v>39.661999999999999</v>
      </c>
      <c r="F14">
        <v>2377.75</v>
      </c>
      <c r="H14" s="3">
        <f t="shared" si="1"/>
        <v>5.6290267887419532E-2</v>
      </c>
      <c r="I14" s="3">
        <f t="shared" si="2"/>
        <v>2.8371044612343965E-2</v>
      </c>
      <c r="J14" s="3">
        <f t="shared" si="3"/>
        <v>0.33907379316498609</v>
      </c>
      <c r="K14" s="3">
        <f t="shared" si="4"/>
        <v>2.6396149267636115E-2</v>
      </c>
      <c r="L14" s="3">
        <f t="shared" si="5"/>
        <v>3.4897694742806795E-2</v>
      </c>
    </row>
    <row r="15" spans="1:21" x14ac:dyDescent="0.2">
      <c r="A15" s="9">
        <v>39262</v>
      </c>
      <c r="B15">
        <v>13.08</v>
      </c>
      <c r="C15">
        <v>29.877600000000001</v>
      </c>
      <c r="D15">
        <v>16.66</v>
      </c>
      <c r="E15">
        <v>40.384999999999998</v>
      </c>
      <c r="F15">
        <v>2338.25</v>
      </c>
      <c r="H15" s="3">
        <f t="shared" si="1"/>
        <v>4.9759229534510396E-2</v>
      </c>
      <c r="I15" s="3">
        <f t="shared" si="2"/>
        <v>-3.9756255905587623E-2</v>
      </c>
      <c r="J15" s="3">
        <f t="shared" si="3"/>
        <v>0.11014859732125015</v>
      </c>
      <c r="K15" s="3">
        <f t="shared" si="4"/>
        <v>1.8229035348696465E-2</v>
      </c>
      <c r="L15" s="3">
        <f t="shared" si="5"/>
        <v>-1.6612343602144919E-2</v>
      </c>
      <c r="M15" s="1" t="s">
        <v>5</v>
      </c>
      <c r="N15" s="1">
        <v>1</v>
      </c>
      <c r="O15" s="1">
        <v>2</v>
      </c>
      <c r="P15" s="1">
        <v>3</v>
      </c>
      <c r="Q15" s="1">
        <v>4</v>
      </c>
      <c r="R15" s="1">
        <v>5</v>
      </c>
    </row>
    <row r="16" spans="1:21" x14ac:dyDescent="0.2">
      <c r="A16" s="9">
        <v>39294</v>
      </c>
      <c r="B16">
        <v>12.762</v>
      </c>
      <c r="C16">
        <v>29.390899999999998</v>
      </c>
      <c r="D16">
        <v>16.151</v>
      </c>
      <c r="E16">
        <v>38.146999999999998</v>
      </c>
      <c r="F16">
        <v>2265.75</v>
      </c>
      <c r="H16" s="3">
        <f t="shared" si="1"/>
        <v>-2.4311926605504519E-2</v>
      </c>
      <c r="I16" s="3">
        <f t="shared" si="2"/>
        <v>-1.6289795699788501E-2</v>
      </c>
      <c r="J16" s="3">
        <f t="shared" si="3"/>
        <v>-3.0552220888355408E-2</v>
      </c>
      <c r="K16" s="3">
        <f t="shared" si="4"/>
        <v>-5.5416615079856402E-2</v>
      </c>
      <c r="L16" s="3">
        <f t="shared" si="5"/>
        <v>-3.1006094301293752E-2</v>
      </c>
      <c r="M16" s="1">
        <v>1</v>
      </c>
      <c r="N16" s="4" cm="1">
        <f t="array" ref="N16:Q19">MINVERSE(N9:Q12)</f>
        <v>3.7870902579240884</v>
      </c>
      <c r="O16" s="4">
        <v>-1.8809498134503091</v>
      </c>
      <c r="P16" s="4">
        <v>-1.1094739991892402</v>
      </c>
      <c r="Q16" s="4">
        <v>8.6389153122770443E-2</v>
      </c>
      <c r="R16" s="4"/>
    </row>
    <row r="17" spans="1:18" x14ac:dyDescent="0.2">
      <c r="A17" s="9">
        <v>39325</v>
      </c>
      <c r="B17">
        <v>12.894</v>
      </c>
      <c r="C17">
        <v>29.230399999999999</v>
      </c>
      <c r="D17">
        <v>13.759</v>
      </c>
      <c r="E17">
        <v>39.57</v>
      </c>
      <c r="F17">
        <v>2299.71</v>
      </c>
      <c r="H17" s="3">
        <f t="shared" si="1"/>
        <v>1.0343206393982118E-2</v>
      </c>
      <c r="I17" s="3">
        <f t="shared" si="2"/>
        <v>-5.4608739439758747E-3</v>
      </c>
      <c r="J17" s="3">
        <f t="shared" si="3"/>
        <v>-0.14810228468825459</v>
      </c>
      <c r="K17" s="3">
        <f t="shared" si="4"/>
        <v>3.7303064461163382E-2</v>
      </c>
      <c r="L17" s="3">
        <f t="shared" si="5"/>
        <v>1.498841443230714E-2</v>
      </c>
      <c r="M17" s="1">
        <v>2</v>
      </c>
      <c r="N17" s="4">
        <v>-1.8809498134503089</v>
      </c>
      <c r="O17" s="4">
        <v>6.3558370179221537</v>
      </c>
      <c r="P17" s="4">
        <v>-0.57848192188838365</v>
      </c>
      <c r="Q17" s="4">
        <v>-1.8094446801911093</v>
      </c>
      <c r="R17" s="4"/>
    </row>
    <row r="18" spans="1:18" x14ac:dyDescent="0.2">
      <c r="A18" s="9">
        <v>39353</v>
      </c>
      <c r="B18">
        <v>14.196</v>
      </c>
      <c r="C18">
        <v>29.973099999999999</v>
      </c>
      <c r="D18">
        <v>14.862</v>
      </c>
      <c r="E18">
        <v>33.506999999999998</v>
      </c>
      <c r="F18">
        <v>2385.7199999999998</v>
      </c>
      <c r="H18" s="3">
        <f t="shared" si="1"/>
        <v>0.10097719869706845</v>
      </c>
      <c r="I18" s="3">
        <f t="shared" si="2"/>
        <v>2.5408478843943261E-2</v>
      </c>
      <c r="J18" s="3">
        <f t="shared" si="3"/>
        <v>8.0165709717275879E-2</v>
      </c>
      <c r="K18" s="3">
        <f t="shared" si="4"/>
        <v>-0.15322213798332074</v>
      </c>
      <c r="L18" s="3">
        <f t="shared" si="5"/>
        <v>3.7400367872470808E-2</v>
      </c>
      <c r="M18" s="1">
        <v>3</v>
      </c>
      <c r="N18" s="4">
        <v>-1.1094739991892404</v>
      </c>
      <c r="O18" s="4">
        <v>-0.57848192188838365</v>
      </c>
      <c r="P18" s="4">
        <v>2.5791262349701718</v>
      </c>
      <c r="Q18" s="4">
        <v>-0.35305090928876165</v>
      </c>
      <c r="R18" s="4"/>
    </row>
    <row r="19" spans="1:18" x14ac:dyDescent="0.2">
      <c r="A19" s="9">
        <v>39386</v>
      </c>
      <c r="B19">
        <v>17.692</v>
      </c>
      <c r="C19">
        <v>37.451099999999997</v>
      </c>
      <c r="D19">
        <v>19.093</v>
      </c>
      <c r="E19">
        <v>32.545999999999999</v>
      </c>
      <c r="F19">
        <v>2423.6698999999999</v>
      </c>
      <c r="H19" s="3">
        <f t="shared" si="1"/>
        <v>0.24626655395886177</v>
      </c>
      <c r="I19" s="3">
        <f t="shared" si="2"/>
        <v>0.24949037637081251</v>
      </c>
      <c r="J19" s="3">
        <f t="shared" si="3"/>
        <v>0.28468577580406396</v>
      </c>
      <c r="K19" s="3">
        <f t="shared" si="4"/>
        <v>-2.8680574208374332E-2</v>
      </c>
      <c r="L19" s="3">
        <f t="shared" si="5"/>
        <v>1.5907105611723038E-2</v>
      </c>
      <c r="M19" s="1">
        <v>4</v>
      </c>
      <c r="N19" s="4">
        <v>8.6389153122770318E-2</v>
      </c>
      <c r="O19" s="4">
        <v>-1.8094446801911093</v>
      </c>
      <c r="P19" s="4">
        <v>-0.35305090928876159</v>
      </c>
      <c r="Q19" s="4">
        <v>5.196880897690539</v>
      </c>
      <c r="R19" s="4"/>
    </row>
    <row r="20" spans="1:18" x14ac:dyDescent="0.2">
      <c r="A20" s="9">
        <v>39416</v>
      </c>
      <c r="B20">
        <v>17.341999999999999</v>
      </c>
      <c r="C20">
        <v>34.2943</v>
      </c>
      <c r="D20">
        <v>20.172999999999998</v>
      </c>
      <c r="E20">
        <v>29.742999999999999</v>
      </c>
      <c r="F20">
        <v>2322.3400999999999</v>
      </c>
      <c r="H20" s="3">
        <f t="shared" si="1"/>
        <v>-1.9782952747004368E-2</v>
      </c>
      <c r="I20" s="3">
        <f t="shared" si="2"/>
        <v>-8.429124912218855E-2</v>
      </c>
      <c r="J20" s="3">
        <f t="shared" si="3"/>
        <v>5.6565233331587361E-2</v>
      </c>
      <c r="K20" s="3">
        <f t="shared" si="4"/>
        <v>-8.6124254900755925E-2</v>
      </c>
      <c r="L20" s="3">
        <f t="shared" si="5"/>
        <v>-4.1808416236881141E-2</v>
      </c>
      <c r="M20" s="1">
        <v>5</v>
      </c>
      <c r="N20" s="4"/>
      <c r="O20" s="4"/>
      <c r="P20" s="4"/>
      <c r="Q20" s="4"/>
      <c r="R20" s="4"/>
    </row>
    <row r="21" spans="1:18" x14ac:dyDescent="0.2">
      <c r="A21" s="9">
        <v>39447</v>
      </c>
      <c r="B21">
        <v>17.303999999999998</v>
      </c>
      <c r="C21">
        <v>36.335599999999999</v>
      </c>
      <c r="D21">
        <v>21.635999999999999</v>
      </c>
      <c r="E21">
        <v>28.056000000000001</v>
      </c>
      <c r="F21">
        <v>2306.23</v>
      </c>
      <c r="H21" s="3">
        <f t="shared" si="1"/>
        <v>-2.1912120862646045E-3</v>
      </c>
      <c r="I21" s="3">
        <f t="shared" si="2"/>
        <v>5.9523011112633917E-2</v>
      </c>
      <c r="J21" s="3">
        <f t="shared" si="3"/>
        <v>7.2522678828136566E-2</v>
      </c>
      <c r="K21" s="3">
        <f t="shared" si="4"/>
        <v>-5.6719228053659587E-2</v>
      </c>
      <c r="L21" s="3">
        <f t="shared" si="5"/>
        <v>-6.9370115083488004E-3</v>
      </c>
    </row>
    <row r="22" spans="1:18" x14ac:dyDescent="0.2">
      <c r="A22" s="9">
        <v>39478</v>
      </c>
      <c r="B22">
        <v>14.121</v>
      </c>
      <c r="C22">
        <v>33.273600000000002</v>
      </c>
      <c r="D22">
        <v>20.827000000000002</v>
      </c>
      <c r="E22">
        <v>31.91</v>
      </c>
      <c r="F22">
        <v>2167.8998999999999</v>
      </c>
      <c r="H22" s="3">
        <f t="shared" si="1"/>
        <v>-0.18394590846047143</v>
      </c>
      <c r="I22" s="3">
        <f t="shared" si="2"/>
        <v>-8.4269972148526495E-2</v>
      </c>
      <c r="J22" s="3">
        <f t="shared" si="3"/>
        <v>-3.7391384729155042E-2</v>
      </c>
      <c r="K22" s="3">
        <f t="shared" si="4"/>
        <v>0.1373681209010551</v>
      </c>
      <c r="L22" s="3">
        <f t="shared" si="5"/>
        <v>-5.9981051326190471E-2</v>
      </c>
      <c r="M22" s="1" t="s">
        <v>6</v>
      </c>
      <c r="N22" s="1">
        <v>1</v>
      </c>
      <c r="O22" s="1">
        <v>1</v>
      </c>
      <c r="P22" s="1">
        <v>1</v>
      </c>
      <c r="Q22" s="1">
        <v>1</v>
      </c>
      <c r="R22" s="1"/>
    </row>
    <row r="23" spans="1:18" x14ac:dyDescent="0.2">
      <c r="A23" s="9">
        <v>39507</v>
      </c>
      <c r="B23">
        <v>11.791</v>
      </c>
      <c r="C23">
        <v>27.8703</v>
      </c>
      <c r="D23">
        <v>19.117000000000001</v>
      </c>
      <c r="E23">
        <v>27.65</v>
      </c>
      <c r="F23">
        <v>2097.48</v>
      </c>
      <c r="H23" s="3">
        <f t="shared" si="1"/>
        <v>-0.16500247857800443</v>
      </c>
      <c r="I23" s="3">
        <f t="shared" si="2"/>
        <v>-0.16239000288517025</v>
      </c>
      <c r="J23" s="3">
        <f t="shared" si="3"/>
        <v>-8.210495990781197E-2</v>
      </c>
      <c r="K23" s="3">
        <f t="shared" si="4"/>
        <v>-0.13350047007207777</v>
      </c>
      <c r="L23" s="3">
        <f t="shared" si="5"/>
        <v>-3.2483003481848849E-2</v>
      </c>
      <c r="M23" s="1" t="s">
        <v>7</v>
      </c>
      <c r="N23" s="3">
        <v>8.7433303707387722E-2</v>
      </c>
      <c r="O23" s="3">
        <v>6.9141992025321009E-2</v>
      </c>
      <c r="P23" s="3">
        <v>7.4413000827068587E-2</v>
      </c>
      <c r="Q23" s="3">
        <v>4.5540295220960487E-2</v>
      </c>
      <c r="R23" s="3"/>
    </row>
    <row r="24" spans="1:18" x14ac:dyDescent="0.2">
      <c r="A24" s="9">
        <v>39538</v>
      </c>
      <c r="B24">
        <v>11.022</v>
      </c>
      <c r="C24">
        <v>29.079599999999999</v>
      </c>
      <c r="D24">
        <v>22.436</v>
      </c>
      <c r="E24">
        <v>29.379000000000001</v>
      </c>
      <c r="F24">
        <v>2088.4198999999999</v>
      </c>
      <c r="H24" s="3">
        <f t="shared" si="1"/>
        <v>-6.521923500975324E-2</v>
      </c>
      <c r="I24" s="3">
        <f t="shared" si="2"/>
        <v>4.3390275669799028E-2</v>
      </c>
      <c r="J24" s="3">
        <f t="shared" si="3"/>
        <v>0.17361510697285132</v>
      </c>
      <c r="K24" s="3">
        <f t="shared" si="4"/>
        <v>6.253164556962032E-2</v>
      </c>
      <c r="L24" s="3">
        <f t="shared" si="5"/>
        <v>-4.3195167534375578E-3</v>
      </c>
    </row>
    <row r="25" spans="1:18" x14ac:dyDescent="0.2">
      <c r="A25" s="9">
        <v>39568</v>
      </c>
      <c r="B25">
        <v>14.371</v>
      </c>
      <c r="C25">
        <v>29.222999999999999</v>
      </c>
      <c r="D25">
        <v>28.006</v>
      </c>
      <c r="E25">
        <v>30.251000000000001</v>
      </c>
      <c r="F25">
        <v>2190.1298999999999</v>
      </c>
      <c r="H25" s="3">
        <f t="shared" si="1"/>
        <v>0.30384685175104331</v>
      </c>
      <c r="I25" s="3">
        <f t="shared" si="2"/>
        <v>4.9312920397803772E-3</v>
      </c>
      <c r="J25" s="3">
        <f t="shared" si="3"/>
        <v>0.24826172223212706</v>
      </c>
      <c r="K25" s="3">
        <f t="shared" si="4"/>
        <v>2.9681064706082561E-2</v>
      </c>
      <c r="L25" s="3">
        <f t="shared" si="5"/>
        <v>4.8701891798675234E-2</v>
      </c>
      <c r="M25" s="1" t="s">
        <v>8</v>
      </c>
      <c r="N25" s="4" cm="1">
        <f t="array" ref="N25:Q25">MMULT(N22:Q22,_xlfn.ANCHORARRAY(N16))</f>
        <v>0.88305559840730941</v>
      </c>
      <c r="O25" s="4">
        <v>2.0869606023923519</v>
      </c>
      <c r="P25" s="4">
        <v>0.53811940460378638</v>
      </c>
      <c r="Q25" s="4">
        <v>3.1207744613334385</v>
      </c>
      <c r="R25" s="4"/>
    </row>
    <row r="26" spans="1:18" x14ac:dyDescent="0.2">
      <c r="A26" s="9">
        <v>39598</v>
      </c>
      <c r="B26">
        <v>14.659000000000001</v>
      </c>
      <c r="C26">
        <v>29.125299999999999</v>
      </c>
      <c r="D26">
        <v>31.074999999999999</v>
      </c>
      <c r="E26">
        <v>28.738</v>
      </c>
      <c r="F26">
        <v>2218.5</v>
      </c>
      <c r="H26" s="3">
        <f t="shared" si="1"/>
        <v>2.0040359056433088E-2</v>
      </c>
      <c r="I26" s="3">
        <f t="shared" si="2"/>
        <v>-3.3432570235772952E-3</v>
      </c>
      <c r="J26" s="3">
        <f t="shared" si="3"/>
        <v>0.1095836606441476</v>
      </c>
      <c r="K26" s="3">
        <f t="shared" si="4"/>
        <v>-5.001487554130446E-2</v>
      </c>
      <c r="L26" s="3">
        <f t="shared" si="5"/>
        <v>1.2953615217069947E-2</v>
      </c>
      <c r="M26" s="1" t="s">
        <v>9</v>
      </c>
      <c r="N26" s="4" cm="1">
        <f t="array" ref="N26:Q26">MMULT(N23:Q23,_xlfn.ANCHORARRAY(N16))</f>
        <v>0.12244009360457547</v>
      </c>
      <c r="O26" s="4">
        <v>0.14954835545583439</v>
      </c>
      <c r="P26" s="4">
        <v>3.8840110462349087E-2</v>
      </c>
      <c r="Q26" s="4">
        <v>9.2840592118069387E-2</v>
      </c>
      <c r="R26" s="4"/>
    </row>
    <row r="27" spans="1:18" x14ac:dyDescent="0.2">
      <c r="A27" s="9">
        <v>39629</v>
      </c>
      <c r="B27">
        <v>13.173</v>
      </c>
      <c r="C27">
        <v>28.292200000000001</v>
      </c>
      <c r="D27">
        <v>26.733000000000001</v>
      </c>
      <c r="E27">
        <v>24.803999999999998</v>
      </c>
      <c r="F27">
        <v>2031.47</v>
      </c>
      <c r="H27" s="3">
        <f t="shared" si="1"/>
        <v>-0.10137117129408557</v>
      </c>
      <c r="I27" s="3">
        <f t="shared" si="2"/>
        <v>-2.8603997212045873E-2</v>
      </c>
      <c r="J27" s="3">
        <f t="shared" si="3"/>
        <v>-0.13972646822204338</v>
      </c>
      <c r="K27" s="3">
        <f t="shared" si="4"/>
        <v>-0.13689192010578333</v>
      </c>
      <c r="L27" s="3">
        <f t="shared" si="5"/>
        <v>-8.4304710389903059E-2</v>
      </c>
    </row>
    <row r="28" spans="1:18" x14ac:dyDescent="0.2">
      <c r="A28" s="9">
        <v>39660</v>
      </c>
      <c r="B28">
        <v>11.855</v>
      </c>
      <c r="C28">
        <v>26.4513</v>
      </c>
      <c r="D28">
        <v>24.596</v>
      </c>
      <c r="E28">
        <v>25.239000000000001</v>
      </c>
      <c r="F28">
        <v>2014.39</v>
      </c>
      <c r="H28" s="3">
        <f t="shared" si="1"/>
        <v>-0.10005313899643209</v>
      </c>
      <c r="I28" s="3">
        <f t="shared" si="2"/>
        <v>-6.5067403736719043E-2</v>
      </c>
      <c r="J28" s="3">
        <f t="shared" si="3"/>
        <v>-7.9938652601653448E-2</v>
      </c>
      <c r="K28" s="3">
        <f t="shared" si="4"/>
        <v>1.7537493952588301E-2</v>
      </c>
      <c r="L28" s="3">
        <f t="shared" si="5"/>
        <v>-8.4077047655145565E-3</v>
      </c>
      <c r="M28" s="1" t="s">
        <v>10</v>
      </c>
      <c r="N28" s="2">
        <f>SUMPRODUCT(N25:Q25,N22:Q22)</f>
        <v>6.6289100667368865</v>
      </c>
    </row>
    <row r="29" spans="1:18" x14ac:dyDescent="0.2">
      <c r="A29" s="9">
        <v>39689</v>
      </c>
      <c r="B29">
        <v>11.593</v>
      </c>
      <c r="C29">
        <v>28.178999999999998</v>
      </c>
      <c r="D29">
        <v>24.434999999999999</v>
      </c>
      <c r="E29">
        <v>28.722999999999999</v>
      </c>
      <c r="F29">
        <v>2043.53</v>
      </c>
      <c r="H29" s="3">
        <f t="shared" si="1"/>
        <v>-2.2100379586672325E-2</v>
      </c>
      <c r="I29" s="3">
        <f t="shared" si="2"/>
        <v>6.5316260448446739E-2</v>
      </c>
      <c r="J29" s="3">
        <f t="shared" si="3"/>
        <v>-6.5457798015937652E-3</v>
      </c>
      <c r="K29" s="3">
        <f t="shared" si="4"/>
        <v>0.13804033440310626</v>
      </c>
      <c r="L29" s="3">
        <f t="shared" si="5"/>
        <v>1.4465917721990129E-2</v>
      </c>
      <c r="M29" s="1" t="s">
        <v>11</v>
      </c>
      <c r="N29" s="2">
        <f>SUMPRODUCT(N22:Q22,N26:Q26)</f>
        <v>0.40366915164082834</v>
      </c>
    </row>
    <row r="30" spans="1:18" x14ac:dyDescent="0.2">
      <c r="A30" s="9">
        <v>39721</v>
      </c>
      <c r="B30">
        <v>10.023</v>
      </c>
      <c r="C30">
        <v>27.5594</v>
      </c>
      <c r="D30">
        <v>17.864999999999998</v>
      </c>
      <c r="E30">
        <v>27.64</v>
      </c>
      <c r="F30">
        <v>1861.4399000000001</v>
      </c>
      <c r="H30" s="3">
        <f t="shared" si="1"/>
        <v>-0.13542655050461483</v>
      </c>
      <c r="I30" s="3">
        <f t="shared" si="2"/>
        <v>-2.1988005252138065E-2</v>
      </c>
      <c r="J30" s="3">
        <f t="shared" si="3"/>
        <v>-0.26887661141804786</v>
      </c>
      <c r="K30" s="3">
        <f t="shared" si="4"/>
        <v>-3.7704975107057059E-2</v>
      </c>
      <c r="L30" s="3">
        <f t="shared" si="5"/>
        <v>-8.9105665196987482E-2</v>
      </c>
      <c r="M30" s="1" t="s">
        <v>12</v>
      </c>
      <c r="N30" s="2">
        <f>SUMPRODUCT(N23:Q23,N26:Q26)</f>
        <v>2.8163610235920872E-2</v>
      </c>
    </row>
    <row r="31" spans="1:18" x14ac:dyDescent="0.2">
      <c r="A31" s="9">
        <v>39752</v>
      </c>
      <c r="B31">
        <v>8.9930000000000003</v>
      </c>
      <c r="C31">
        <v>23.057400000000001</v>
      </c>
      <c r="D31">
        <v>14.904999999999999</v>
      </c>
      <c r="E31">
        <v>25.184999999999999</v>
      </c>
      <c r="F31">
        <v>1548.8100999999999</v>
      </c>
      <c r="H31" s="3">
        <f t="shared" si="1"/>
        <v>-0.10276364361967472</v>
      </c>
      <c r="I31" s="3">
        <f t="shared" si="2"/>
        <v>-0.16335624142760719</v>
      </c>
      <c r="J31" s="3">
        <f t="shared" si="3"/>
        <v>-0.16568709767702205</v>
      </c>
      <c r="K31" s="3">
        <f t="shared" si="4"/>
        <v>-8.8820549927641212E-2</v>
      </c>
      <c r="L31" s="3">
        <f t="shared" si="5"/>
        <v>-0.16795052045462233</v>
      </c>
      <c r="M31" s="1" t="s">
        <v>17</v>
      </c>
      <c r="N31" s="2">
        <f>N28*N30 - N29^2</f>
        <v>2.3745255422123829E-2</v>
      </c>
    </row>
    <row r="32" spans="1:18" x14ac:dyDescent="0.2">
      <c r="A32" s="9">
        <v>39780</v>
      </c>
      <c r="B32">
        <v>7.3310000000000004</v>
      </c>
      <c r="C32">
        <v>21.016999999999999</v>
      </c>
      <c r="D32">
        <v>14.651</v>
      </c>
      <c r="E32">
        <v>24.672000000000001</v>
      </c>
      <c r="F32">
        <v>1437.6801</v>
      </c>
      <c r="H32" s="3">
        <f t="shared" si="1"/>
        <v>-0.18481040809518512</v>
      </c>
      <c r="I32" s="3">
        <f t="shared" si="2"/>
        <v>-8.8492197732615185E-2</v>
      </c>
      <c r="J32" s="3">
        <f t="shared" si="3"/>
        <v>-1.7041261321704138E-2</v>
      </c>
      <c r="K32" s="3">
        <f t="shared" si="4"/>
        <v>-2.0369267421083914E-2</v>
      </c>
      <c r="L32" s="3">
        <f t="shared" si="5"/>
        <v>-7.1751856473559861E-2</v>
      </c>
    </row>
    <row r="33" spans="1:19" x14ac:dyDescent="0.2">
      <c r="A33" s="9">
        <v>39813</v>
      </c>
      <c r="B33">
        <v>7.6989999999999998</v>
      </c>
      <c r="C33">
        <v>20.206299999999999</v>
      </c>
      <c r="D33">
        <v>14.412000000000001</v>
      </c>
      <c r="E33">
        <v>24.829000000000001</v>
      </c>
      <c r="F33">
        <v>1452.98</v>
      </c>
      <c r="H33" s="3">
        <f t="shared" si="1"/>
        <v>5.019779020597448E-2</v>
      </c>
      <c r="I33" s="3">
        <f t="shared" si="2"/>
        <v>-3.8573535709187867E-2</v>
      </c>
      <c r="J33" s="3">
        <f t="shared" si="3"/>
        <v>-1.6312879666916857E-2</v>
      </c>
      <c r="K33" s="3">
        <f t="shared" si="4"/>
        <v>6.3634889753567681E-3</v>
      </c>
      <c r="L33" s="3">
        <f t="shared" si="5"/>
        <v>1.0642075382416349E-2</v>
      </c>
      <c r="M33" s="1" t="s">
        <v>13</v>
      </c>
      <c r="N33" s="3">
        <f>(N30-N29*N1)/(N29 - N28*N1)</f>
        <v>7.3039219145947243E-2</v>
      </c>
    </row>
    <row r="34" spans="1:19" x14ac:dyDescent="0.2">
      <c r="A34" s="9">
        <v>39843</v>
      </c>
      <c r="B34">
        <v>8.4710000000000001</v>
      </c>
      <c r="C34">
        <v>17.774000000000001</v>
      </c>
      <c r="D34">
        <v>13.705</v>
      </c>
      <c r="E34">
        <v>23.222000000000001</v>
      </c>
      <c r="F34">
        <v>1330.51</v>
      </c>
      <c r="H34" s="3">
        <f t="shared" si="1"/>
        <v>0.10027276269645413</v>
      </c>
      <c r="I34" s="3">
        <f t="shared" si="2"/>
        <v>-0.12037334890603413</v>
      </c>
      <c r="J34" s="3">
        <f t="shared" si="3"/>
        <v>-4.9056341937274595E-2</v>
      </c>
      <c r="K34" s="3">
        <f t="shared" si="4"/>
        <v>-6.4722703290507E-2</v>
      </c>
      <c r="L34" s="3">
        <f t="shared" si="5"/>
        <v>-8.4288840864981007E-2</v>
      </c>
    </row>
    <row r="35" spans="1:19" x14ac:dyDescent="0.2">
      <c r="A35" s="9">
        <v>39871</v>
      </c>
      <c r="B35">
        <v>8.4580000000000002</v>
      </c>
      <c r="C35">
        <v>16.9072</v>
      </c>
      <c r="D35">
        <v>15.951000000000001</v>
      </c>
      <c r="E35">
        <v>22.532</v>
      </c>
      <c r="F35">
        <v>1188.8399999999999</v>
      </c>
      <c r="H35" s="3">
        <f t="shared" si="1"/>
        <v>-1.5346476212961813E-3</v>
      </c>
      <c r="I35" s="3">
        <f t="shared" si="2"/>
        <v>-4.8767863170923853E-2</v>
      </c>
      <c r="J35" s="3">
        <f t="shared" si="3"/>
        <v>0.16388179496534105</v>
      </c>
      <c r="K35" s="3">
        <f t="shared" si="4"/>
        <v>-2.9713202997157961E-2</v>
      </c>
      <c r="L35" s="3">
        <f t="shared" si="5"/>
        <v>-0.10647796709532442</v>
      </c>
      <c r="M35" s="1" t="s">
        <v>14</v>
      </c>
      <c r="N35" s="4">
        <f>(N30 - N29*N33)/N31</f>
        <v>-5.5592975091868981E-2</v>
      </c>
    </row>
    <row r="36" spans="1:19" x14ac:dyDescent="0.2">
      <c r="A36" s="9">
        <v>39903</v>
      </c>
      <c r="B36">
        <v>8.7100000000000009</v>
      </c>
      <c r="C36">
        <v>19.231300000000001</v>
      </c>
      <c r="D36">
        <v>16.904</v>
      </c>
      <c r="E36">
        <v>25.706</v>
      </c>
      <c r="F36">
        <v>1292.98</v>
      </c>
      <c r="H36" s="3">
        <f t="shared" si="1"/>
        <v>2.9794277606999264E-2</v>
      </c>
      <c r="I36" s="3">
        <f t="shared" si="2"/>
        <v>0.13746214630453313</v>
      </c>
      <c r="J36" s="3">
        <f t="shared" si="3"/>
        <v>5.9745470503416609E-2</v>
      </c>
      <c r="K36" s="3">
        <f t="shared" si="4"/>
        <v>0.14086632345109185</v>
      </c>
      <c r="L36" s="3">
        <f t="shared" si="5"/>
        <v>8.7597994683893621E-2</v>
      </c>
      <c r="M36" s="1" t="s">
        <v>15</v>
      </c>
      <c r="N36" s="4">
        <f>(N28*N33 - N29)/N31</f>
        <v>3.3902041477868701</v>
      </c>
    </row>
    <row r="37" spans="1:19" x14ac:dyDescent="0.2">
      <c r="A37" s="9">
        <v>39933</v>
      </c>
      <c r="B37">
        <v>9.9090000000000007</v>
      </c>
      <c r="C37">
        <v>21.209900000000001</v>
      </c>
      <c r="D37">
        <v>18.533000000000001</v>
      </c>
      <c r="E37">
        <v>28.716999999999999</v>
      </c>
      <c r="F37">
        <v>1416.73</v>
      </c>
      <c r="H37" s="3">
        <f t="shared" si="1"/>
        <v>0.13765786452353623</v>
      </c>
      <c r="I37" s="3">
        <f t="shared" si="2"/>
        <v>0.10288436039165316</v>
      </c>
      <c r="J37" s="3">
        <f t="shared" si="3"/>
        <v>9.6367723615712331E-2</v>
      </c>
      <c r="K37" s="3">
        <f t="shared" si="4"/>
        <v>0.11713218703804551</v>
      </c>
      <c r="L37" s="3">
        <f t="shared" si="5"/>
        <v>9.570913703228201E-2</v>
      </c>
    </row>
    <row r="38" spans="1:19" x14ac:dyDescent="0.2">
      <c r="A38" s="9">
        <v>39962</v>
      </c>
      <c r="B38">
        <v>10.441000000000001</v>
      </c>
      <c r="C38">
        <v>22.009399999999999</v>
      </c>
      <c r="D38">
        <v>17.814</v>
      </c>
      <c r="E38">
        <v>25.27</v>
      </c>
      <c r="F38">
        <v>1495.97</v>
      </c>
      <c r="H38" s="3">
        <f t="shared" si="1"/>
        <v>5.3688565950146261E-2</v>
      </c>
      <c r="I38" s="3">
        <f t="shared" si="2"/>
        <v>3.7694661455263789E-2</v>
      </c>
      <c r="J38" s="3">
        <f t="shared" si="3"/>
        <v>-3.8795661792478398E-2</v>
      </c>
      <c r="K38" s="3">
        <f t="shared" si="4"/>
        <v>-0.12003342967580177</v>
      </c>
      <c r="L38" s="3">
        <f t="shared" si="5"/>
        <v>5.5931617174761694E-2</v>
      </c>
      <c r="N38" t="s">
        <v>21</v>
      </c>
      <c r="O38" t="s">
        <v>22</v>
      </c>
      <c r="P38" t="s">
        <v>23</v>
      </c>
      <c r="Q38" t="s">
        <v>24</v>
      </c>
    </row>
    <row r="39" spans="1:19" x14ac:dyDescent="0.2">
      <c r="A39" s="9">
        <v>39994</v>
      </c>
      <c r="B39">
        <v>10.55</v>
      </c>
      <c r="C39">
        <v>25.043800000000001</v>
      </c>
      <c r="D39">
        <v>16.902000000000001</v>
      </c>
      <c r="E39">
        <v>26.021000000000001</v>
      </c>
      <c r="F39">
        <v>1498.9399000000001</v>
      </c>
      <c r="H39" s="3">
        <f t="shared" si="1"/>
        <v>1.0439613063882858E-2</v>
      </c>
      <c r="I39" s="3">
        <f t="shared" si="2"/>
        <v>0.13786836533481162</v>
      </c>
      <c r="J39" s="3">
        <f t="shared" si="3"/>
        <v>-5.11956887841023E-2</v>
      </c>
      <c r="K39" s="3">
        <f t="shared" si="4"/>
        <v>2.9719034428175695E-2</v>
      </c>
      <c r="L39" s="3">
        <f t="shared" si="5"/>
        <v>1.9852670842330777E-3</v>
      </c>
      <c r="M39" s="1" t="s">
        <v>16</v>
      </c>
      <c r="N39" s="3" cm="1">
        <f t="array" ref="N39:Q39">N35*_xlfn.ANCHORARRAY(N25)+N36*_xlfn.ANCHORARRAY(N26)</f>
        <v>0.36600522530665136</v>
      </c>
      <c r="O39" s="3">
        <v>0.39097910617456499</v>
      </c>
      <c r="P39" s="3">
        <v>0.10176024493336644</v>
      </c>
      <c r="Q39" s="3">
        <v>0.14125542358541715</v>
      </c>
      <c r="R39" s="3"/>
    </row>
    <row r="40" spans="1:19" x14ac:dyDescent="0.2">
      <c r="A40" s="9">
        <v>40025</v>
      </c>
      <c r="B40">
        <v>11.087</v>
      </c>
      <c r="C40">
        <v>24.7804</v>
      </c>
      <c r="D40">
        <v>19.62</v>
      </c>
      <c r="E40">
        <v>28.564</v>
      </c>
      <c r="F40">
        <v>1612.3100999999999</v>
      </c>
      <c r="H40" s="3">
        <f t="shared" si="1"/>
        <v>5.090047393364916E-2</v>
      </c>
      <c r="I40" s="3">
        <f t="shared" si="2"/>
        <v>-1.0517573211733078E-2</v>
      </c>
      <c r="J40" s="3">
        <f t="shared" si="3"/>
        <v>0.16080937167199139</v>
      </c>
      <c r="K40" s="3">
        <f t="shared" si="4"/>
        <v>9.7728757541985178E-2</v>
      </c>
      <c r="L40" s="3">
        <f t="shared" si="5"/>
        <v>7.5633586109756568E-2</v>
      </c>
    </row>
    <row r="41" spans="1:19" x14ac:dyDescent="0.2">
      <c r="A41" s="9">
        <v>40056</v>
      </c>
      <c r="B41">
        <v>11.553000000000001</v>
      </c>
      <c r="C41">
        <v>26.114100000000001</v>
      </c>
      <c r="D41">
        <v>20.49</v>
      </c>
      <c r="E41">
        <v>30.050999999999998</v>
      </c>
      <c r="F41">
        <v>1670.52</v>
      </c>
      <c r="H41" s="3">
        <f t="shared" si="1"/>
        <v>4.2031207720754082E-2</v>
      </c>
      <c r="I41" s="3">
        <f t="shared" si="2"/>
        <v>5.3820761569627562E-2</v>
      </c>
      <c r="J41" s="3">
        <f t="shared" si="3"/>
        <v>4.434250764525971E-2</v>
      </c>
      <c r="K41" s="3">
        <f t="shared" si="4"/>
        <v>5.2058535219156932E-2</v>
      </c>
      <c r="L41" s="3">
        <f t="shared" si="5"/>
        <v>3.6103414597477235E-2</v>
      </c>
      <c r="M41" s="1" t="s">
        <v>18</v>
      </c>
      <c r="N41" s="2">
        <v>358.42</v>
      </c>
      <c r="O41" s="2">
        <v>382.88</v>
      </c>
      <c r="P41" s="2">
        <v>99.65</v>
      </c>
      <c r="Q41" s="2">
        <v>138.33000000000001</v>
      </c>
      <c r="R41" s="2"/>
      <c r="S41" s="2">
        <f>SUM(N41:R41)</f>
        <v>979.28</v>
      </c>
    </row>
    <row r="42" spans="1:19" x14ac:dyDescent="0.2">
      <c r="A42" s="9">
        <v>40086</v>
      </c>
      <c r="B42">
        <v>12.407999999999999</v>
      </c>
      <c r="C42">
        <v>27.247699999999998</v>
      </c>
      <c r="D42">
        <v>20.440999999999999</v>
      </c>
      <c r="E42">
        <v>29.582000000000001</v>
      </c>
      <c r="F42">
        <v>1732.86</v>
      </c>
      <c r="H42" s="3">
        <f t="shared" si="1"/>
        <v>7.4006751493118639E-2</v>
      </c>
      <c r="I42" s="3">
        <f t="shared" si="2"/>
        <v>4.3409499082870839E-2</v>
      </c>
      <c r="J42" s="3">
        <f t="shared" si="3"/>
        <v>-2.3914104441190576E-3</v>
      </c>
      <c r="K42" s="3">
        <f t="shared" si="4"/>
        <v>-1.5606801770323697E-2</v>
      </c>
      <c r="L42" s="3">
        <f t="shared" si="5"/>
        <v>3.7317721428058226E-2</v>
      </c>
      <c r="M42" s="1" t="s">
        <v>19</v>
      </c>
      <c r="N42" s="3">
        <f>N41/$S41</f>
        <v>0.36600359447757541</v>
      </c>
      <c r="O42" s="3">
        <f t="shared" ref="O42:Q42" si="8">O41/$S41</f>
        <v>0.39098112899272935</v>
      </c>
      <c r="P42" s="3">
        <f t="shared" si="8"/>
        <v>0.10175843476840128</v>
      </c>
      <c r="Q42" s="3">
        <f t="shared" si="8"/>
        <v>0.14125684176129402</v>
      </c>
      <c r="R42" s="3"/>
    </row>
    <row r="43" spans="1:19" x14ac:dyDescent="0.2">
      <c r="A43" s="9">
        <v>40116</v>
      </c>
      <c r="B43">
        <v>13.416</v>
      </c>
      <c r="C43">
        <v>29.376999999999999</v>
      </c>
      <c r="D43">
        <v>22.163</v>
      </c>
      <c r="E43">
        <v>27.861000000000001</v>
      </c>
      <c r="F43">
        <v>1700.67</v>
      </c>
      <c r="H43" s="3">
        <f t="shared" si="1"/>
        <v>8.1237911025145104E-2</v>
      </c>
      <c r="I43" s="3">
        <f t="shared" si="2"/>
        <v>7.8146045354286819E-2</v>
      </c>
      <c r="J43" s="3">
        <f t="shared" si="3"/>
        <v>8.4242453891688385E-2</v>
      </c>
      <c r="K43" s="3">
        <f t="shared" si="4"/>
        <v>-5.8177269961463107E-2</v>
      </c>
      <c r="L43" s="3">
        <f t="shared" si="5"/>
        <v>-1.8576226584951949E-2</v>
      </c>
    </row>
    <row r="44" spans="1:19" x14ac:dyDescent="0.2">
      <c r="A44" s="9">
        <v>40147</v>
      </c>
      <c r="B44">
        <v>14.589</v>
      </c>
      <c r="C44">
        <v>31.291799999999999</v>
      </c>
      <c r="D44">
        <v>24.373000000000001</v>
      </c>
      <c r="E44">
        <v>30.381</v>
      </c>
      <c r="F44">
        <v>1802.6801</v>
      </c>
      <c r="H44" s="3">
        <f t="shared" si="1"/>
        <v>8.7432915921288101E-2</v>
      </c>
      <c r="I44" s="3">
        <f t="shared" si="2"/>
        <v>6.5180243047281872E-2</v>
      </c>
      <c r="J44" s="3">
        <f t="shared" si="3"/>
        <v>9.9715742453639011E-2</v>
      </c>
      <c r="K44" s="3">
        <f t="shared" si="4"/>
        <v>9.0449014751803558E-2</v>
      </c>
      <c r="L44" s="3">
        <f t="shared" si="5"/>
        <v>5.9982301093098656E-2</v>
      </c>
      <c r="M44" s="1" t="s">
        <v>20</v>
      </c>
      <c r="N44" s="3" cm="1">
        <f t="array" ref="N44">SUMSQ(_xlfn.ANCHORARRAY(N39)-N42:Q42)</f>
        <v>1.2039316819850644E-11</v>
      </c>
    </row>
    <row r="45" spans="1:19" x14ac:dyDescent="0.2">
      <c r="A45" s="9">
        <v>40178</v>
      </c>
      <c r="B45">
        <v>15.515000000000001</v>
      </c>
      <c r="C45">
        <v>32.430300000000003</v>
      </c>
      <c r="D45">
        <v>25.902999999999999</v>
      </c>
      <c r="E45">
        <v>32.383000000000003</v>
      </c>
      <c r="F45">
        <v>1837.5</v>
      </c>
      <c r="H45" s="3">
        <f t="shared" si="1"/>
        <v>6.3472479265199722E-2</v>
      </c>
      <c r="I45" s="3">
        <f t="shared" si="2"/>
        <v>3.6383333652906025E-2</v>
      </c>
      <c r="J45" s="3">
        <f t="shared" si="3"/>
        <v>6.277438148771175E-2</v>
      </c>
      <c r="K45" s="3">
        <f t="shared" si="4"/>
        <v>6.5896448438168775E-2</v>
      </c>
      <c r="L45" s="3">
        <f t="shared" si="5"/>
        <v>1.9315628990412614E-2</v>
      </c>
    </row>
    <row r="46" spans="1:19" x14ac:dyDescent="0.2">
      <c r="A46" s="9">
        <v>40207</v>
      </c>
      <c r="B46">
        <v>13.260999999999999</v>
      </c>
      <c r="C46">
        <v>29.9831</v>
      </c>
      <c r="D46">
        <v>25.302</v>
      </c>
      <c r="E46">
        <v>31.353000000000002</v>
      </c>
      <c r="F46">
        <v>1771.4</v>
      </c>
      <c r="H46" s="3">
        <f t="shared" si="1"/>
        <v>-0.14527876248791505</v>
      </c>
      <c r="I46" s="3">
        <f t="shared" si="2"/>
        <v>-7.5460294847719656E-2</v>
      </c>
      <c r="J46" s="3">
        <f t="shared" si="3"/>
        <v>-2.3201945720572881E-2</v>
      </c>
      <c r="K46" s="3">
        <f t="shared" si="4"/>
        <v>-3.180681221628634E-2</v>
      </c>
      <c r="L46" s="3">
        <f t="shared" si="5"/>
        <v>-3.5972789115646164E-2</v>
      </c>
    </row>
    <row r="47" spans="1:19" x14ac:dyDescent="0.2">
      <c r="A47" s="9">
        <v>40235</v>
      </c>
      <c r="B47">
        <v>13.183</v>
      </c>
      <c r="C47">
        <v>30.644400000000001</v>
      </c>
      <c r="D47">
        <v>22.716999999999999</v>
      </c>
      <c r="E47">
        <v>34.923999999999999</v>
      </c>
      <c r="F47">
        <v>1826.27</v>
      </c>
      <c r="H47" s="3">
        <f t="shared" si="1"/>
        <v>-5.8819093582686E-3</v>
      </c>
      <c r="I47" s="3">
        <f t="shared" si="2"/>
        <v>2.205575807705018E-2</v>
      </c>
      <c r="J47" s="3">
        <f t="shared" si="3"/>
        <v>-0.10216583669275159</v>
      </c>
      <c r="K47" s="3">
        <f t="shared" si="4"/>
        <v>0.11389659681689146</v>
      </c>
      <c r="L47" s="3">
        <f t="shared" si="5"/>
        <v>3.0975499604832368E-2</v>
      </c>
    </row>
    <row r="48" spans="1:19" x14ac:dyDescent="0.2">
      <c r="A48" s="9">
        <v>40268</v>
      </c>
      <c r="B48">
        <v>14.192</v>
      </c>
      <c r="C48">
        <v>31.304400000000001</v>
      </c>
      <c r="D48">
        <v>25.716999999999999</v>
      </c>
      <c r="E48">
        <v>36.481000000000002</v>
      </c>
      <c r="F48">
        <v>1936.48</v>
      </c>
      <c r="H48" s="3">
        <f t="shared" si="1"/>
        <v>7.6537965561708221E-2</v>
      </c>
      <c r="I48" s="3">
        <f t="shared" si="2"/>
        <v>2.1537377139053238E-2</v>
      </c>
      <c r="J48" s="3">
        <f t="shared" si="3"/>
        <v>0.13205969098032311</v>
      </c>
      <c r="K48" s="3">
        <f t="shared" si="4"/>
        <v>4.4582522047875495E-2</v>
      </c>
      <c r="L48" s="3">
        <f t="shared" si="5"/>
        <v>6.034704616513431E-2</v>
      </c>
    </row>
    <row r="49" spans="1:17" x14ac:dyDescent="0.2">
      <c r="A49" s="9">
        <v>40298</v>
      </c>
      <c r="B49">
        <v>13.154999999999999</v>
      </c>
      <c r="C49">
        <v>32.637799999999999</v>
      </c>
      <c r="D49">
        <v>25.129000000000001</v>
      </c>
      <c r="E49">
        <v>39.728999999999999</v>
      </c>
      <c r="F49">
        <v>1967.05</v>
      </c>
      <c r="H49" s="3">
        <f t="shared" si="1"/>
        <v>-7.3069334836527666E-2</v>
      </c>
      <c r="I49" s="3">
        <f t="shared" si="2"/>
        <v>4.2594651231136815E-2</v>
      </c>
      <c r="J49" s="3">
        <f t="shared" si="3"/>
        <v>-2.2864253217715791E-2</v>
      </c>
      <c r="K49" s="3">
        <f t="shared" si="4"/>
        <v>8.9032647131383369E-2</v>
      </c>
      <c r="L49" s="3">
        <f t="shared" si="5"/>
        <v>1.5786375278856513E-2</v>
      </c>
    </row>
    <row r="50" spans="1:17" x14ac:dyDescent="0.2">
      <c r="A50" s="9">
        <v>40329</v>
      </c>
      <c r="B50">
        <v>12.153</v>
      </c>
      <c r="C50">
        <v>27.702100000000002</v>
      </c>
      <c r="D50">
        <v>20.440999999999999</v>
      </c>
      <c r="E50">
        <v>38.183999999999997</v>
      </c>
      <c r="F50">
        <v>1809.98</v>
      </c>
      <c r="H50" s="3">
        <f t="shared" si="1"/>
        <v>-7.6168757126567788E-2</v>
      </c>
      <c r="I50" s="3">
        <f t="shared" si="2"/>
        <v>-0.15122649198168991</v>
      </c>
      <c r="J50" s="3">
        <f t="shared" si="3"/>
        <v>-0.18655736400175105</v>
      </c>
      <c r="K50" s="3">
        <f t="shared" si="4"/>
        <v>-3.8888469380049862E-2</v>
      </c>
      <c r="L50" s="3">
        <f t="shared" si="5"/>
        <v>-7.985053760707661E-2</v>
      </c>
      <c r="N50">
        <v>0.36600359447757541</v>
      </c>
      <c r="O50">
        <v>0.39098112899272935</v>
      </c>
      <c r="P50">
        <v>0.10175843476840128</v>
      </c>
      <c r="Q50">
        <v>0.14125684176129402</v>
      </c>
    </row>
    <row r="51" spans="1:17" x14ac:dyDescent="0.2">
      <c r="A51" s="9">
        <v>40359</v>
      </c>
      <c r="B51">
        <v>11.135</v>
      </c>
      <c r="C51">
        <v>24.706399999999999</v>
      </c>
      <c r="D51">
        <v>20.213999999999999</v>
      </c>
      <c r="E51">
        <v>31.878</v>
      </c>
      <c r="F51">
        <v>1715.23</v>
      </c>
      <c r="H51" s="3">
        <f t="shared" si="1"/>
        <v>-8.3765325434049243E-2</v>
      </c>
      <c r="I51" s="3">
        <f t="shared" si="2"/>
        <v>-0.10813981611502388</v>
      </c>
      <c r="J51" s="3">
        <f t="shared" si="3"/>
        <v>-1.1105131842864879E-2</v>
      </c>
      <c r="K51" s="3">
        <f t="shared" si="4"/>
        <v>-0.16514770584538019</v>
      </c>
      <c r="L51" s="3">
        <f t="shared" si="5"/>
        <v>-5.234864473640588E-2</v>
      </c>
    </row>
    <row r="52" spans="1:17" x14ac:dyDescent="0.2">
      <c r="A52" s="9">
        <v>40389</v>
      </c>
      <c r="B52">
        <v>12.132999999999999</v>
      </c>
      <c r="C52">
        <v>27.712800000000001</v>
      </c>
      <c r="D52">
        <v>21.295000000000002</v>
      </c>
      <c r="E52">
        <v>32.377000000000002</v>
      </c>
      <c r="F52">
        <v>1835.4</v>
      </c>
      <c r="H52" s="3">
        <f t="shared" si="1"/>
        <v>8.9627301302200202E-2</v>
      </c>
      <c r="I52" s="3">
        <f t="shared" si="2"/>
        <v>0.12168506945568769</v>
      </c>
      <c r="J52" s="3">
        <f t="shared" si="3"/>
        <v>5.3477787671910804E-2</v>
      </c>
      <c r="K52" s="3">
        <f t="shared" si="4"/>
        <v>1.5653428696907001E-2</v>
      </c>
      <c r="L52" s="3">
        <f t="shared" si="5"/>
        <v>7.0060574966622546E-2</v>
      </c>
    </row>
    <row r="53" spans="1:17" x14ac:dyDescent="0.2">
      <c r="A53" s="9">
        <v>40421</v>
      </c>
      <c r="B53">
        <v>11.260999999999999</v>
      </c>
      <c r="C53">
        <v>25.327500000000001</v>
      </c>
      <c r="D53">
        <v>20.111000000000001</v>
      </c>
      <c r="E53">
        <v>31.861999999999998</v>
      </c>
      <c r="F53">
        <v>1752.55</v>
      </c>
      <c r="H53" s="3">
        <f t="shared" si="1"/>
        <v>-7.187010632160229E-2</v>
      </c>
      <c r="I53" s="3">
        <f t="shared" si="2"/>
        <v>-8.6072139949770476E-2</v>
      </c>
      <c r="J53" s="3">
        <f t="shared" si="3"/>
        <v>-5.5599906081239769E-2</v>
      </c>
      <c r="K53" s="3">
        <f t="shared" si="4"/>
        <v>-1.5906353275473406E-2</v>
      </c>
      <c r="L53" s="3">
        <f t="shared" si="5"/>
        <v>-4.5140023972976007E-2</v>
      </c>
    </row>
    <row r="54" spans="1:17" x14ac:dyDescent="0.2">
      <c r="A54" s="9">
        <v>40451</v>
      </c>
      <c r="B54">
        <v>13.157999999999999</v>
      </c>
      <c r="C54">
        <v>26.433900000000001</v>
      </c>
      <c r="D54">
        <v>22.71</v>
      </c>
      <c r="E54">
        <v>36.283000000000001</v>
      </c>
      <c r="F54">
        <v>1908.95</v>
      </c>
      <c r="H54" s="3">
        <f t="shared" si="1"/>
        <v>0.16845750821419059</v>
      </c>
      <c r="I54" s="3">
        <f t="shared" si="2"/>
        <v>4.3683742967130623E-2</v>
      </c>
      <c r="J54" s="3">
        <f t="shared" si="3"/>
        <v>0.12923275819203428</v>
      </c>
      <c r="K54" s="3">
        <f t="shared" si="4"/>
        <v>0.13875462933902472</v>
      </c>
      <c r="L54" s="3">
        <f t="shared" si="5"/>
        <v>8.924139111580276E-2</v>
      </c>
    </row>
    <row r="55" spans="1:17" x14ac:dyDescent="0.2">
      <c r="A55" s="9">
        <v>40480</v>
      </c>
      <c r="B55">
        <v>15.356999999999999</v>
      </c>
      <c r="C55">
        <v>28.781500000000001</v>
      </c>
      <c r="D55">
        <v>24.355</v>
      </c>
      <c r="E55">
        <v>35.389000000000003</v>
      </c>
      <c r="F55">
        <v>1981.59</v>
      </c>
      <c r="H55" s="3">
        <f t="shared" si="1"/>
        <v>0.16712266301869594</v>
      </c>
      <c r="I55" s="3">
        <f t="shared" si="2"/>
        <v>8.8810202051154086E-2</v>
      </c>
      <c r="J55" s="3">
        <f t="shared" si="3"/>
        <v>7.243505063848521E-2</v>
      </c>
      <c r="K55" s="3">
        <f t="shared" si="4"/>
        <v>-2.4639638398147867E-2</v>
      </c>
      <c r="L55" s="3">
        <f t="shared" si="5"/>
        <v>3.8052332434060476E-2</v>
      </c>
    </row>
    <row r="56" spans="1:17" x14ac:dyDescent="0.2">
      <c r="A56" s="9">
        <v>40512</v>
      </c>
      <c r="B56">
        <v>13.906000000000001</v>
      </c>
      <c r="C56">
        <v>27.4313</v>
      </c>
      <c r="D56">
        <v>24.047000000000001</v>
      </c>
      <c r="E56">
        <v>34.869999999999997</v>
      </c>
      <c r="F56">
        <v>1981.84</v>
      </c>
      <c r="H56" s="3">
        <f t="shared" si="1"/>
        <v>-9.4484599856742735E-2</v>
      </c>
      <c r="I56" s="3">
        <f t="shared" si="2"/>
        <v>-4.6912078939596702E-2</v>
      </c>
      <c r="J56" s="3">
        <f t="shared" si="3"/>
        <v>-1.2646273865736024E-2</v>
      </c>
      <c r="K56" s="3">
        <f t="shared" si="4"/>
        <v>-1.4665574048433272E-2</v>
      </c>
      <c r="L56" s="3">
        <f t="shared" si="5"/>
        <v>1.2616131490372773E-4</v>
      </c>
    </row>
    <row r="57" spans="1:17" x14ac:dyDescent="0.2">
      <c r="A57" s="9">
        <v>40543</v>
      </c>
      <c r="B57">
        <v>14.864000000000001</v>
      </c>
      <c r="C57">
        <v>30.312100000000001</v>
      </c>
      <c r="D57">
        <v>22.736999999999998</v>
      </c>
      <c r="E57">
        <v>40.468000000000004</v>
      </c>
      <c r="F57">
        <v>2114.29</v>
      </c>
      <c r="H57" s="3">
        <f t="shared" si="1"/>
        <v>6.8891126132604619E-2</v>
      </c>
      <c r="I57" s="3">
        <f t="shared" si="2"/>
        <v>0.10501871949196717</v>
      </c>
      <c r="J57" s="3">
        <f t="shared" si="3"/>
        <v>-5.4476649893957729E-2</v>
      </c>
      <c r="K57" s="3">
        <f t="shared" si="4"/>
        <v>0.16053914539718983</v>
      </c>
      <c r="L57" s="3">
        <f t="shared" si="5"/>
        <v>6.6831833044039834E-2</v>
      </c>
    </row>
    <row r="58" spans="1:17" x14ac:dyDescent="0.2">
      <c r="A58" s="9">
        <v>40574</v>
      </c>
      <c r="B58">
        <v>15.023999999999999</v>
      </c>
      <c r="C58">
        <v>30.1111</v>
      </c>
      <c r="D58">
        <v>24.01</v>
      </c>
      <c r="E58">
        <v>42.442</v>
      </c>
      <c r="F58">
        <v>2164.3998999999999</v>
      </c>
      <c r="H58" s="3">
        <f t="shared" si="1"/>
        <v>1.0764262648008449E-2</v>
      </c>
      <c r="I58" s="3">
        <f t="shared" si="2"/>
        <v>-6.6310153371096359E-3</v>
      </c>
      <c r="J58" s="3">
        <f t="shared" si="3"/>
        <v>5.5988037120112688E-2</v>
      </c>
      <c r="K58" s="3">
        <f t="shared" si="4"/>
        <v>4.8779282395967183E-2</v>
      </c>
      <c r="L58" s="3">
        <f t="shared" si="5"/>
        <v>2.3700580336661448E-2</v>
      </c>
    </row>
    <row r="59" spans="1:17" x14ac:dyDescent="0.2">
      <c r="A59" s="9">
        <v>40602</v>
      </c>
      <c r="B59">
        <v>15.35</v>
      </c>
      <c r="C59">
        <v>29.038900000000002</v>
      </c>
      <c r="D59">
        <v>24.420999999999999</v>
      </c>
      <c r="E59">
        <v>43.25</v>
      </c>
      <c r="F59">
        <v>2238.5500000000002</v>
      </c>
      <c r="H59" s="3">
        <f t="shared" si="1"/>
        <v>2.1698615548455757E-2</v>
      </c>
      <c r="I59" s="3">
        <f t="shared" si="2"/>
        <v>-3.5608131220712602E-2</v>
      </c>
      <c r="J59" s="3">
        <f t="shared" si="3"/>
        <v>1.7117867555185295E-2</v>
      </c>
      <c r="K59" s="3">
        <f t="shared" si="4"/>
        <v>1.9037745629329361E-2</v>
      </c>
      <c r="L59" s="3">
        <f t="shared" si="5"/>
        <v>3.4258964805903069E-2</v>
      </c>
    </row>
    <row r="60" spans="1:17" x14ac:dyDescent="0.2">
      <c r="A60" s="9">
        <v>40633</v>
      </c>
      <c r="B60">
        <v>14.683</v>
      </c>
      <c r="C60">
        <v>27.738800000000001</v>
      </c>
      <c r="D60">
        <v>25.553999999999998</v>
      </c>
      <c r="E60">
        <v>43.064999999999998</v>
      </c>
      <c r="F60">
        <v>2239.4398999999999</v>
      </c>
      <c r="H60" s="3">
        <f t="shared" si="1"/>
        <v>-4.3452768729641655E-2</v>
      </c>
      <c r="I60" s="3">
        <f t="shared" si="2"/>
        <v>-4.4770979616996498E-2</v>
      </c>
      <c r="J60" s="3">
        <f t="shared" si="3"/>
        <v>4.6394496539863272E-2</v>
      </c>
      <c r="K60" s="3">
        <f t="shared" si="4"/>
        <v>-4.2774566473988695E-3</v>
      </c>
      <c r="L60" s="3">
        <f t="shared" si="5"/>
        <v>3.9753411806731087E-4</v>
      </c>
    </row>
    <row r="61" spans="1:17" x14ac:dyDescent="0.2">
      <c r="A61" s="9">
        <v>40662</v>
      </c>
      <c r="B61">
        <v>13.616</v>
      </c>
      <c r="C61">
        <v>28.317900000000002</v>
      </c>
      <c r="D61">
        <v>28.024000000000001</v>
      </c>
      <c r="E61">
        <v>43.17</v>
      </c>
      <c r="F61">
        <v>2305.7600000000002</v>
      </c>
      <c r="H61" s="3">
        <f t="shared" si="1"/>
        <v>-7.2669073077708979E-2</v>
      </c>
      <c r="I61" s="3">
        <f t="shared" si="2"/>
        <v>2.0876894458303985E-2</v>
      </c>
      <c r="J61" s="3">
        <f t="shared" si="3"/>
        <v>9.6658057446975088E-2</v>
      </c>
      <c r="K61" s="3">
        <f t="shared" si="4"/>
        <v>2.4381748519679558E-3</v>
      </c>
      <c r="L61" s="3">
        <f t="shared" si="5"/>
        <v>2.961459247019782E-2</v>
      </c>
    </row>
    <row r="62" spans="1:17" x14ac:dyDescent="0.2">
      <c r="A62" s="9">
        <v>40694</v>
      </c>
      <c r="B62">
        <v>13.238</v>
      </c>
      <c r="C62">
        <v>27.501999999999999</v>
      </c>
      <c r="D62">
        <v>29.157</v>
      </c>
      <c r="E62">
        <v>42.158999999999999</v>
      </c>
      <c r="F62">
        <v>2279.6599000000001</v>
      </c>
      <c r="H62" s="3">
        <f t="shared" si="1"/>
        <v>-2.7761457109283239E-2</v>
      </c>
      <c r="I62" s="3">
        <f t="shared" si="2"/>
        <v>-2.8812164743854729E-2</v>
      </c>
      <c r="J62" s="3">
        <f t="shared" si="3"/>
        <v>4.0429631744219208E-2</v>
      </c>
      <c r="K62" s="3">
        <f t="shared" si="4"/>
        <v>-2.3419041000695029E-2</v>
      </c>
      <c r="L62" s="3">
        <f t="shared" si="5"/>
        <v>-1.1319521546041211E-2</v>
      </c>
    </row>
    <row r="63" spans="1:17" x14ac:dyDescent="0.2">
      <c r="A63" s="9">
        <v>40724</v>
      </c>
      <c r="B63">
        <v>12.672000000000001</v>
      </c>
      <c r="C63">
        <v>28.590599999999998</v>
      </c>
      <c r="D63">
        <v>30.609000000000002</v>
      </c>
      <c r="E63">
        <v>42.392000000000003</v>
      </c>
      <c r="F63">
        <v>2241.6599000000001</v>
      </c>
      <c r="H63" s="3">
        <f t="shared" si="1"/>
        <v>-4.2755703278440804E-2</v>
      </c>
      <c r="I63" s="3">
        <f t="shared" si="2"/>
        <v>3.9582575812668219E-2</v>
      </c>
      <c r="J63" s="3">
        <f t="shared" si="3"/>
        <v>4.979936207428759E-2</v>
      </c>
      <c r="K63" s="3">
        <f t="shared" si="4"/>
        <v>5.526696553523669E-3</v>
      </c>
      <c r="L63" s="3">
        <f t="shared" si="5"/>
        <v>-1.6669153148678006E-2</v>
      </c>
    </row>
    <row r="64" spans="1:17" x14ac:dyDescent="0.2">
      <c r="A64" s="9">
        <v>40753</v>
      </c>
      <c r="B64">
        <v>15.106999999999999</v>
      </c>
      <c r="C64">
        <v>30.130099999999999</v>
      </c>
      <c r="D64">
        <v>30.818000000000001</v>
      </c>
      <c r="E64">
        <v>40.881999999999998</v>
      </c>
      <c r="F64">
        <v>2196.0801000000001</v>
      </c>
      <c r="H64" s="3">
        <f t="shared" si="1"/>
        <v>0.19215593434343425</v>
      </c>
      <c r="I64" s="3">
        <f t="shared" si="2"/>
        <v>5.3846369086343104E-2</v>
      </c>
      <c r="J64" s="3">
        <f t="shared" si="3"/>
        <v>6.8280571073866536E-3</v>
      </c>
      <c r="K64" s="3">
        <f t="shared" si="4"/>
        <v>-3.5619928288356362E-2</v>
      </c>
      <c r="L64" s="3">
        <f t="shared" si="5"/>
        <v>-2.0333057659638776E-2</v>
      </c>
    </row>
    <row r="65" spans="1:12" x14ac:dyDescent="0.2">
      <c r="A65" s="9">
        <v>40786</v>
      </c>
      <c r="B65">
        <v>13.537000000000001</v>
      </c>
      <c r="C65">
        <v>29.434999999999999</v>
      </c>
      <c r="D65">
        <v>33.506999999999998</v>
      </c>
      <c r="E65">
        <v>39.359000000000002</v>
      </c>
      <c r="F65">
        <v>2076.7800000000002</v>
      </c>
      <c r="H65" s="3">
        <f t="shared" si="1"/>
        <v>-0.10392533262725878</v>
      </c>
      <c r="I65" s="3">
        <f t="shared" si="2"/>
        <v>-2.3069953302511492E-2</v>
      </c>
      <c r="J65" s="3">
        <f t="shared" si="3"/>
        <v>8.7254202089687816E-2</v>
      </c>
      <c r="K65" s="3">
        <f t="shared" si="4"/>
        <v>-3.7253559023531002E-2</v>
      </c>
      <c r="L65" s="3">
        <f t="shared" si="5"/>
        <v>-5.4324111401947484E-2</v>
      </c>
    </row>
    <row r="66" spans="1:12" x14ac:dyDescent="0.2">
      <c r="A66" s="9">
        <v>40816</v>
      </c>
      <c r="B66">
        <v>12.888</v>
      </c>
      <c r="C66">
        <v>27.5428</v>
      </c>
      <c r="D66">
        <v>32.231000000000002</v>
      </c>
      <c r="E66">
        <v>38.756999999999998</v>
      </c>
      <c r="F66">
        <v>1930.79</v>
      </c>
      <c r="H66" s="3">
        <f t="shared" si="1"/>
        <v>-4.7942675629755516E-2</v>
      </c>
      <c r="I66" s="3">
        <f t="shared" si="2"/>
        <v>-6.4284015627654068E-2</v>
      </c>
      <c r="J66" s="3">
        <f t="shared" si="3"/>
        <v>-3.8081594890619797E-2</v>
      </c>
      <c r="K66" s="3">
        <f t="shared" si="4"/>
        <v>-1.529510404227763E-2</v>
      </c>
      <c r="L66" s="3">
        <f t="shared" si="5"/>
        <v>-7.0296324117143039E-2</v>
      </c>
    </row>
    <row r="67" spans="1:12" x14ac:dyDescent="0.2">
      <c r="A67" s="9">
        <v>40847</v>
      </c>
      <c r="B67">
        <v>14.83</v>
      </c>
      <c r="C67">
        <v>29.4682</v>
      </c>
      <c r="D67">
        <v>35.305</v>
      </c>
      <c r="E67">
        <v>42.212000000000003</v>
      </c>
      <c r="F67">
        <v>2141.8101000000001</v>
      </c>
      <c r="H67" s="3">
        <f t="shared" si="1"/>
        <v>0.15068280571073878</v>
      </c>
      <c r="I67" s="3">
        <f t="shared" si="2"/>
        <v>6.9905746692420445E-2</v>
      </c>
      <c r="J67" s="3">
        <f t="shared" si="3"/>
        <v>9.5374018801774652E-2</v>
      </c>
      <c r="K67" s="3">
        <f t="shared" si="4"/>
        <v>8.914518667595539E-2</v>
      </c>
      <c r="L67" s="3">
        <f t="shared" si="5"/>
        <v>0.10929210323235572</v>
      </c>
    </row>
    <row r="68" spans="1:12" x14ac:dyDescent="0.2">
      <c r="A68" s="9">
        <v>40877</v>
      </c>
      <c r="B68">
        <v>14.999000000000001</v>
      </c>
      <c r="C68">
        <v>28.518000000000001</v>
      </c>
      <c r="D68">
        <v>38.082000000000001</v>
      </c>
      <c r="E68">
        <v>46.588999999999999</v>
      </c>
      <c r="F68">
        <v>2137.0801000000001</v>
      </c>
      <c r="H68" s="3">
        <f t="shared" ref="H68:H105" si="9">B68/B67-1</f>
        <v>1.1395819285232589E-2</v>
      </c>
      <c r="I68" s="3">
        <f t="shared" ref="I68:I105" si="10">C68/C67-1</f>
        <v>-3.2244928431325981E-2</v>
      </c>
      <c r="J68" s="3">
        <f t="shared" ref="J68:J105" si="11">D68/D67-1</f>
        <v>7.86574139640277E-2</v>
      </c>
      <c r="K68" s="3">
        <f t="shared" ref="K68:K105" si="12">E68/E67-1</f>
        <v>0.10369089358476247</v>
      </c>
      <c r="L68" s="3">
        <f t="shared" ref="L68:L105" si="13">F68/F67-1</f>
        <v>-2.2084124078040057E-3</v>
      </c>
    </row>
    <row r="69" spans="1:12" x14ac:dyDescent="0.2">
      <c r="A69" s="9">
        <v>40907</v>
      </c>
      <c r="B69">
        <v>16.163</v>
      </c>
      <c r="C69">
        <v>28.941700000000001</v>
      </c>
      <c r="D69">
        <v>37.905999999999999</v>
      </c>
      <c r="E69">
        <v>49.939</v>
      </c>
      <c r="F69">
        <v>2158.9398999999999</v>
      </c>
      <c r="H69" s="3">
        <f t="shared" si="9"/>
        <v>7.7605173678245265E-2</v>
      </c>
      <c r="I69" s="3">
        <f t="shared" si="10"/>
        <v>1.4857283119433351E-2</v>
      </c>
      <c r="J69" s="3">
        <f t="shared" si="11"/>
        <v>-4.6216060080878085E-3</v>
      </c>
      <c r="K69" s="3">
        <f t="shared" si="12"/>
        <v>7.1905385391401344E-2</v>
      </c>
      <c r="L69" s="3">
        <f t="shared" si="13"/>
        <v>1.0228816411701036E-2</v>
      </c>
    </row>
    <row r="70" spans="1:12" x14ac:dyDescent="0.2">
      <c r="A70" s="9">
        <v>40939</v>
      </c>
      <c r="B70">
        <v>14.516999999999999</v>
      </c>
      <c r="C70">
        <v>32.921700000000001</v>
      </c>
      <c r="D70">
        <v>36.167000000000002</v>
      </c>
      <c r="E70">
        <v>52.73</v>
      </c>
      <c r="F70">
        <v>2255.6898999999999</v>
      </c>
      <c r="H70" s="3">
        <f t="shared" si="9"/>
        <v>-0.10183753016148001</v>
      </c>
      <c r="I70" s="3">
        <f t="shared" si="10"/>
        <v>0.1375178375838324</v>
      </c>
      <c r="J70" s="3">
        <f t="shared" si="11"/>
        <v>-4.5876642220228914E-2</v>
      </c>
      <c r="K70" s="3">
        <f t="shared" si="12"/>
        <v>5.5888183583972406E-2</v>
      </c>
      <c r="L70" s="3">
        <f t="shared" si="13"/>
        <v>4.4813660630386165E-2</v>
      </c>
    </row>
    <row r="71" spans="1:12" x14ac:dyDescent="0.2">
      <c r="A71" s="9">
        <v>40968</v>
      </c>
      <c r="B71">
        <v>15.471</v>
      </c>
      <c r="C71">
        <v>35.619500000000002</v>
      </c>
      <c r="D71">
        <v>42.720999999999997</v>
      </c>
      <c r="E71">
        <v>56.508000000000003</v>
      </c>
      <c r="F71">
        <v>2353.23</v>
      </c>
      <c r="H71" s="3">
        <f t="shared" si="9"/>
        <v>6.5716057036577791E-2</v>
      </c>
      <c r="I71" s="3">
        <f t="shared" si="10"/>
        <v>8.1945950543258705E-2</v>
      </c>
      <c r="J71" s="3">
        <f t="shared" si="11"/>
        <v>0.18121491967815939</v>
      </c>
      <c r="K71" s="3">
        <f t="shared" si="12"/>
        <v>7.16480182059549E-2</v>
      </c>
      <c r="L71" s="3">
        <f t="shared" si="13"/>
        <v>4.3241803760348585E-2</v>
      </c>
    </row>
    <row r="72" spans="1:12" x14ac:dyDescent="0.2">
      <c r="A72" s="9">
        <v>40998</v>
      </c>
      <c r="B72">
        <v>16.047000000000001</v>
      </c>
      <c r="C72">
        <v>36.197400000000002</v>
      </c>
      <c r="D72">
        <v>42.776000000000003</v>
      </c>
      <c r="E72">
        <v>60.136000000000003</v>
      </c>
      <c r="F72">
        <v>2430.6698999999999</v>
      </c>
      <c r="H72" s="3">
        <f t="shared" si="9"/>
        <v>3.7230948225712712E-2</v>
      </c>
      <c r="I72" s="3">
        <f t="shared" si="10"/>
        <v>1.6224259183873935E-2</v>
      </c>
      <c r="J72" s="3">
        <f t="shared" si="11"/>
        <v>1.2874230472135206E-3</v>
      </c>
      <c r="K72" s="3">
        <f t="shared" si="12"/>
        <v>6.4203298647979024E-2</v>
      </c>
      <c r="L72" s="3">
        <f t="shared" si="13"/>
        <v>3.2907918053058927E-2</v>
      </c>
    </row>
    <row r="73" spans="1:12" x14ac:dyDescent="0.2">
      <c r="A73" s="9">
        <v>41029</v>
      </c>
      <c r="B73">
        <v>15.135999999999999</v>
      </c>
      <c r="C73">
        <v>35.928100000000001</v>
      </c>
      <c r="D73">
        <v>46.036000000000001</v>
      </c>
      <c r="E73">
        <v>61.905000000000001</v>
      </c>
      <c r="F73">
        <v>2415.4198999999999</v>
      </c>
      <c r="H73" s="3">
        <f t="shared" si="9"/>
        <v>-5.6770735963108443E-2</v>
      </c>
      <c r="I73" s="3">
        <f t="shared" si="10"/>
        <v>-7.4397608668026471E-3</v>
      </c>
      <c r="J73" s="3">
        <f t="shared" si="11"/>
        <v>7.621095941649525E-2</v>
      </c>
      <c r="K73" s="3">
        <f t="shared" si="12"/>
        <v>2.9416655580683848E-2</v>
      </c>
      <c r="L73" s="3">
        <f t="shared" si="13"/>
        <v>-6.2739905570887711E-3</v>
      </c>
    </row>
    <row r="74" spans="1:12" x14ac:dyDescent="0.2">
      <c r="A74" s="9">
        <v>41060</v>
      </c>
      <c r="B74">
        <v>14.536</v>
      </c>
      <c r="C74">
        <v>32.974699999999999</v>
      </c>
      <c r="D74">
        <v>41.378</v>
      </c>
      <c r="E74">
        <v>59.320999999999998</v>
      </c>
      <c r="F74">
        <v>2270.25</v>
      </c>
      <c r="H74" s="3">
        <f t="shared" si="9"/>
        <v>-3.9640591966173311E-2</v>
      </c>
      <c r="I74" s="3">
        <f t="shared" si="10"/>
        <v>-8.2203066680397896E-2</v>
      </c>
      <c r="J74" s="3">
        <f t="shared" si="11"/>
        <v>-0.10118168389955684</v>
      </c>
      <c r="K74" s="3">
        <f t="shared" si="12"/>
        <v>-4.1741377917777323E-2</v>
      </c>
      <c r="L74" s="3">
        <f t="shared" si="13"/>
        <v>-6.0101309921310131E-2</v>
      </c>
    </row>
    <row r="75" spans="1:12" x14ac:dyDescent="0.2">
      <c r="A75" s="9">
        <v>41089</v>
      </c>
      <c r="B75">
        <v>14.516</v>
      </c>
      <c r="C75">
        <v>34.556199999999997</v>
      </c>
      <c r="D75">
        <v>43.78</v>
      </c>
      <c r="E75">
        <v>63.709000000000003</v>
      </c>
      <c r="F75">
        <v>2363.79</v>
      </c>
      <c r="H75" s="3">
        <f t="shared" si="9"/>
        <v>-1.3758943313153527E-3</v>
      </c>
      <c r="I75" s="3">
        <f t="shared" si="10"/>
        <v>4.7961012533851655E-2</v>
      </c>
      <c r="J75" s="3">
        <f t="shared" si="11"/>
        <v>5.8050171588766908E-2</v>
      </c>
      <c r="K75" s="3">
        <f t="shared" si="12"/>
        <v>7.3970432056101654E-2</v>
      </c>
      <c r="L75" s="3">
        <f t="shared" si="13"/>
        <v>4.1202510736702891E-2</v>
      </c>
    </row>
    <row r="76" spans="1:12" x14ac:dyDescent="0.2">
      <c r="A76" s="9">
        <v>41121</v>
      </c>
      <c r="B76">
        <v>15.84</v>
      </c>
      <c r="C76">
        <v>33.290999999999997</v>
      </c>
      <c r="D76">
        <v>44.468000000000004</v>
      </c>
      <c r="E76">
        <v>62.734999999999999</v>
      </c>
      <c r="F76">
        <v>2396.6201000000001</v>
      </c>
      <c r="H76" s="3">
        <f t="shared" si="9"/>
        <v>9.1209699641774611E-2</v>
      </c>
      <c r="I76" s="3">
        <f t="shared" si="10"/>
        <v>-3.661282201167948E-2</v>
      </c>
      <c r="J76" s="3">
        <f t="shared" si="11"/>
        <v>1.5714938328003747E-2</v>
      </c>
      <c r="K76" s="3">
        <f t="shared" si="12"/>
        <v>-1.5288263824577486E-2</v>
      </c>
      <c r="L76" s="3">
        <f t="shared" si="13"/>
        <v>1.3888754923237823E-2</v>
      </c>
    </row>
    <row r="77" spans="1:12" x14ac:dyDescent="0.2">
      <c r="A77" s="9">
        <v>41152</v>
      </c>
      <c r="B77">
        <v>17.143999999999998</v>
      </c>
      <c r="C77">
        <v>35.0471</v>
      </c>
      <c r="D77">
        <v>43.075000000000003</v>
      </c>
      <c r="E77">
        <v>68.578999999999994</v>
      </c>
      <c r="F77">
        <v>2450.6001000000001</v>
      </c>
      <c r="H77" s="3">
        <f t="shared" si="9"/>
        <v>8.2323232323232132E-2</v>
      </c>
      <c r="I77" s="3">
        <f t="shared" si="10"/>
        <v>5.2749992490463082E-2</v>
      </c>
      <c r="J77" s="3">
        <f t="shared" si="11"/>
        <v>-3.132589727444457E-2</v>
      </c>
      <c r="K77" s="3">
        <f t="shared" si="12"/>
        <v>9.3153741930341871E-2</v>
      </c>
      <c r="L77" s="3">
        <f t="shared" si="13"/>
        <v>2.2523386163706194E-2</v>
      </c>
    </row>
    <row r="78" spans="1:12" x14ac:dyDescent="0.2">
      <c r="A78" s="9">
        <v>41180</v>
      </c>
      <c r="B78">
        <v>18.881</v>
      </c>
      <c r="C78">
        <v>33.841700000000003</v>
      </c>
      <c r="D78">
        <v>45.985999999999997</v>
      </c>
      <c r="E78">
        <v>72.953999999999994</v>
      </c>
      <c r="F78">
        <v>2513.9299000000001</v>
      </c>
      <c r="H78" s="3">
        <f t="shared" si="9"/>
        <v>0.10131824545030343</v>
      </c>
      <c r="I78" s="3">
        <f t="shared" si="10"/>
        <v>-3.4393715885194465E-2</v>
      </c>
      <c r="J78" s="3">
        <f t="shared" si="11"/>
        <v>6.7579802669761824E-2</v>
      </c>
      <c r="K78" s="3">
        <f t="shared" si="12"/>
        <v>6.3795039297744216E-2</v>
      </c>
      <c r="L78" s="3">
        <f t="shared" si="13"/>
        <v>2.584256811219432E-2</v>
      </c>
    </row>
    <row r="79" spans="1:12" x14ac:dyDescent="0.2">
      <c r="A79" s="9">
        <v>41213</v>
      </c>
      <c r="B79">
        <v>17.024000000000001</v>
      </c>
      <c r="C79">
        <v>32.4544</v>
      </c>
      <c r="D79">
        <v>46.978000000000002</v>
      </c>
      <c r="E79">
        <v>74.174999999999997</v>
      </c>
      <c r="F79">
        <v>2467.5100000000002</v>
      </c>
      <c r="H79" s="3">
        <f t="shared" si="9"/>
        <v>-9.835284148085377E-2</v>
      </c>
      <c r="I79" s="3">
        <f t="shared" si="10"/>
        <v>-4.0993803502779258E-2</v>
      </c>
      <c r="J79" s="3">
        <f t="shared" si="11"/>
        <v>2.1571782716478971E-2</v>
      </c>
      <c r="K79" s="3">
        <f t="shared" si="12"/>
        <v>1.6736573731392479E-2</v>
      </c>
      <c r="L79" s="3">
        <f t="shared" si="13"/>
        <v>-1.8465073349897221E-2</v>
      </c>
    </row>
    <row r="80" spans="1:12" x14ac:dyDescent="0.2">
      <c r="A80" s="9">
        <v>41243</v>
      </c>
      <c r="B80">
        <v>17.475999999999999</v>
      </c>
      <c r="C80">
        <v>30.522300000000001</v>
      </c>
      <c r="D80">
        <v>49.807000000000002</v>
      </c>
      <c r="E80">
        <v>78.989000000000004</v>
      </c>
      <c r="F80">
        <v>2481.8200999999999</v>
      </c>
      <c r="H80" s="3">
        <f t="shared" si="9"/>
        <v>2.6550751879699241E-2</v>
      </c>
      <c r="I80" s="3">
        <f t="shared" si="10"/>
        <v>-5.9532759810688174E-2</v>
      </c>
      <c r="J80" s="3">
        <f t="shared" si="11"/>
        <v>6.0219677295755503E-2</v>
      </c>
      <c r="K80" s="3">
        <f t="shared" si="12"/>
        <v>6.4900572969329495E-2</v>
      </c>
      <c r="L80" s="3">
        <f t="shared" si="13"/>
        <v>5.7994091209354615E-3</v>
      </c>
    </row>
    <row r="81" spans="1:12" x14ac:dyDescent="0.2">
      <c r="A81" s="9">
        <v>41274</v>
      </c>
      <c r="B81">
        <v>17.702000000000002</v>
      </c>
      <c r="C81">
        <v>30.6309</v>
      </c>
      <c r="D81">
        <v>50.072000000000003</v>
      </c>
      <c r="E81">
        <v>75.08</v>
      </c>
      <c r="F81">
        <v>2504.4398999999999</v>
      </c>
      <c r="H81" s="3">
        <f t="shared" si="9"/>
        <v>1.2932021057450394E-2</v>
      </c>
      <c r="I81" s="3">
        <f t="shared" si="10"/>
        <v>3.5580542750710542E-3</v>
      </c>
      <c r="J81" s="3">
        <f t="shared" si="11"/>
        <v>5.3205372738771572E-3</v>
      </c>
      <c r="K81" s="3">
        <f t="shared" si="12"/>
        <v>-4.9487903378951592E-2</v>
      </c>
      <c r="L81" s="3">
        <f t="shared" si="13"/>
        <v>9.1141980838982395E-3</v>
      </c>
    </row>
    <row r="82" spans="1:12" x14ac:dyDescent="0.2">
      <c r="A82" s="9">
        <v>41305</v>
      </c>
      <c r="B82">
        <v>18.911000000000001</v>
      </c>
      <c r="C82">
        <v>31.479900000000001</v>
      </c>
      <c r="D82">
        <v>52.866</v>
      </c>
      <c r="E82">
        <v>81.234999999999999</v>
      </c>
      <c r="F82">
        <v>2634.1599000000001</v>
      </c>
      <c r="H82" s="3">
        <f t="shared" si="9"/>
        <v>6.8297367529092767E-2</v>
      </c>
      <c r="I82" s="3">
        <f t="shared" si="10"/>
        <v>2.7717109193657441E-2</v>
      </c>
      <c r="J82" s="3">
        <f t="shared" si="11"/>
        <v>5.5799648506151156E-2</v>
      </c>
      <c r="K82" s="3">
        <f t="shared" si="12"/>
        <v>8.1979222163026222E-2</v>
      </c>
      <c r="L82" s="3">
        <f t="shared" si="13"/>
        <v>5.1796012353900078E-2</v>
      </c>
    </row>
    <row r="83" spans="1:12" x14ac:dyDescent="0.2">
      <c r="A83" s="9">
        <v>41333</v>
      </c>
      <c r="B83">
        <v>20.048999999999999</v>
      </c>
      <c r="C83">
        <v>32.142800000000001</v>
      </c>
      <c r="D83">
        <v>52.807000000000002</v>
      </c>
      <c r="E83">
        <v>83.153000000000006</v>
      </c>
      <c r="F83">
        <v>2669.9198999999999</v>
      </c>
      <c r="H83" s="3">
        <f t="shared" si="9"/>
        <v>6.0176616783882197E-2</v>
      </c>
      <c r="I83" s="3">
        <f t="shared" si="10"/>
        <v>2.1057881378276244E-2</v>
      </c>
      <c r="J83" s="3">
        <f t="shared" si="11"/>
        <v>-1.116029205916802E-3</v>
      </c>
      <c r="K83" s="3">
        <f t="shared" si="12"/>
        <v>2.3610512710038778E-2</v>
      </c>
      <c r="L83" s="3">
        <f t="shared" si="13"/>
        <v>1.3575485679513832E-2</v>
      </c>
    </row>
    <row r="84" spans="1:12" x14ac:dyDescent="0.2">
      <c r="A84" s="9">
        <v>41362</v>
      </c>
      <c r="B84">
        <v>19.873999999999999</v>
      </c>
      <c r="C84">
        <v>33.073500000000003</v>
      </c>
      <c r="D84">
        <v>55.183999999999997</v>
      </c>
      <c r="E84">
        <v>85.174000000000007</v>
      </c>
      <c r="F84">
        <v>2770.05</v>
      </c>
      <c r="H84" s="3">
        <f t="shared" si="9"/>
        <v>-8.7286148935109553E-3</v>
      </c>
      <c r="I84" s="3">
        <f t="shared" si="10"/>
        <v>2.8955162586955741E-2</v>
      </c>
      <c r="J84" s="3">
        <f t="shared" si="11"/>
        <v>4.5012971765106879E-2</v>
      </c>
      <c r="K84" s="3">
        <f t="shared" si="12"/>
        <v>2.4304595143891383E-2</v>
      </c>
      <c r="L84" s="3">
        <f t="shared" si="13"/>
        <v>3.7503035203415802E-2</v>
      </c>
    </row>
    <row r="85" spans="1:12" x14ac:dyDescent="0.2">
      <c r="A85" s="9">
        <v>41394</v>
      </c>
      <c r="B85">
        <v>20.634</v>
      </c>
      <c r="C85">
        <v>38.270699999999998</v>
      </c>
      <c r="D85">
        <v>56.451000000000001</v>
      </c>
      <c r="E85">
        <v>89.531000000000006</v>
      </c>
      <c r="F85">
        <v>2823.4198999999999</v>
      </c>
      <c r="H85" s="3">
        <f t="shared" si="9"/>
        <v>3.8240917782026873E-2</v>
      </c>
      <c r="I85" s="3">
        <f t="shared" si="10"/>
        <v>0.15714091342010961</v>
      </c>
      <c r="J85" s="3">
        <f t="shared" si="11"/>
        <v>2.2959553493766327E-2</v>
      </c>
      <c r="K85" s="3">
        <f t="shared" si="12"/>
        <v>5.1154108061145509E-2</v>
      </c>
      <c r="L85" s="3">
        <f t="shared" si="13"/>
        <v>1.9266764137831238E-2</v>
      </c>
    </row>
    <row r="86" spans="1:12" x14ac:dyDescent="0.2">
      <c r="A86" s="9">
        <v>41425</v>
      </c>
      <c r="B86">
        <v>21.802</v>
      </c>
      <c r="C86">
        <v>40.628700000000002</v>
      </c>
      <c r="D86">
        <v>58.22</v>
      </c>
      <c r="E86">
        <v>96.013000000000005</v>
      </c>
      <c r="F86">
        <v>2889.46</v>
      </c>
      <c r="H86" s="3">
        <f t="shared" si="9"/>
        <v>5.6605602403799526E-2</v>
      </c>
      <c r="I86" s="3">
        <f t="shared" si="10"/>
        <v>6.1613714930743413E-2</v>
      </c>
      <c r="J86" s="3">
        <f t="shared" si="11"/>
        <v>3.133691165789787E-2</v>
      </c>
      <c r="K86" s="3">
        <f t="shared" si="12"/>
        <v>7.2399504082384825E-2</v>
      </c>
      <c r="L86" s="3">
        <f t="shared" si="13"/>
        <v>2.339010927846763E-2</v>
      </c>
    </row>
    <row r="87" spans="1:12" x14ac:dyDescent="0.2">
      <c r="A87" s="9">
        <v>41453</v>
      </c>
      <c r="B87">
        <v>22.030999999999999</v>
      </c>
      <c r="C87">
        <v>40.215400000000002</v>
      </c>
      <c r="D87">
        <v>58.652999999999999</v>
      </c>
      <c r="E87">
        <v>95.040999999999997</v>
      </c>
      <c r="F87">
        <v>2850.6599000000001</v>
      </c>
      <c r="H87" s="3">
        <f t="shared" si="9"/>
        <v>1.0503623520777827E-2</v>
      </c>
      <c r="I87" s="3">
        <f t="shared" si="10"/>
        <v>-1.0172611971340451E-2</v>
      </c>
      <c r="J87" s="3">
        <f t="shared" si="11"/>
        <v>7.4373067674338156E-3</v>
      </c>
      <c r="K87" s="3">
        <f t="shared" si="12"/>
        <v>-1.0123629091893904E-2</v>
      </c>
      <c r="L87" s="3">
        <f t="shared" si="13"/>
        <v>-1.3428149204349538E-2</v>
      </c>
    </row>
    <row r="88" spans="1:12" x14ac:dyDescent="0.2">
      <c r="A88" s="9">
        <v>41486</v>
      </c>
      <c r="B88">
        <v>22.215</v>
      </c>
      <c r="C88">
        <v>37.066400000000002</v>
      </c>
      <c r="D88">
        <v>62.402999999999999</v>
      </c>
      <c r="E88">
        <v>96.954999999999998</v>
      </c>
      <c r="F88">
        <v>2995.72</v>
      </c>
      <c r="H88" s="3">
        <f t="shared" si="9"/>
        <v>8.3518678226135457E-3</v>
      </c>
      <c r="I88" s="3">
        <f t="shared" si="10"/>
        <v>-7.8303336532770995E-2</v>
      </c>
      <c r="J88" s="3">
        <f t="shared" si="11"/>
        <v>6.3935348575520523E-2</v>
      </c>
      <c r="K88" s="3">
        <f t="shared" si="12"/>
        <v>2.0138676992035087E-2</v>
      </c>
      <c r="L88" s="3">
        <f t="shared" si="13"/>
        <v>5.0886498245546363E-2</v>
      </c>
    </row>
    <row r="89" spans="1:12" x14ac:dyDescent="0.2">
      <c r="A89" s="9">
        <v>41516</v>
      </c>
      <c r="B89">
        <v>21.193000000000001</v>
      </c>
      <c r="C89">
        <v>39.159999999999997</v>
      </c>
      <c r="D89">
        <v>61.94</v>
      </c>
      <c r="E89">
        <v>91.385000000000005</v>
      </c>
      <c r="F89">
        <v>2908.96</v>
      </c>
      <c r="H89" s="3">
        <f t="shared" si="9"/>
        <v>-4.6004951609272982E-2</v>
      </c>
      <c r="I89" s="3">
        <f t="shared" si="10"/>
        <v>5.6482420736839734E-2</v>
      </c>
      <c r="J89" s="3">
        <f t="shared" si="11"/>
        <v>-7.4195150874156734E-3</v>
      </c>
      <c r="K89" s="3">
        <f t="shared" si="12"/>
        <v>-5.7449332164406064E-2</v>
      </c>
      <c r="L89" s="3">
        <f t="shared" si="13"/>
        <v>-2.8961318147223247E-2</v>
      </c>
    </row>
    <row r="90" spans="1:12" x14ac:dyDescent="0.2">
      <c r="A90" s="9">
        <v>41547</v>
      </c>
      <c r="B90">
        <v>21.919</v>
      </c>
      <c r="C90">
        <v>39.019300000000001</v>
      </c>
      <c r="D90">
        <v>68.757000000000005</v>
      </c>
      <c r="E90">
        <v>93.545000000000002</v>
      </c>
      <c r="F90">
        <v>3000.1799000000001</v>
      </c>
      <c r="H90" s="3">
        <f t="shared" si="9"/>
        <v>3.4256594158448506E-2</v>
      </c>
      <c r="I90" s="3">
        <f t="shared" si="10"/>
        <v>-3.5929519918282971E-3</v>
      </c>
      <c r="J90" s="3">
        <f t="shared" si="11"/>
        <v>0.11005812076202792</v>
      </c>
      <c r="K90" s="3">
        <f t="shared" si="12"/>
        <v>2.3636264157137266E-2</v>
      </c>
      <c r="L90" s="3">
        <f t="shared" si="13"/>
        <v>3.1358251746328669E-2</v>
      </c>
    </row>
    <row r="91" spans="1:12" x14ac:dyDescent="0.2">
      <c r="A91" s="9">
        <v>41578</v>
      </c>
      <c r="B91">
        <v>25.789000000000001</v>
      </c>
      <c r="C91">
        <v>41.5107</v>
      </c>
      <c r="D91">
        <v>73.352000000000004</v>
      </c>
      <c r="E91">
        <v>96.061000000000007</v>
      </c>
      <c r="F91">
        <v>3138.0900999999999</v>
      </c>
      <c r="H91" s="3">
        <f t="shared" si="9"/>
        <v>0.17655914959624064</v>
      </c>
      <c r="I91" s="3">
        <f t="shared" si="10"/>
        <v>6.3850453493527581E-2</v>
      </c>
      <c r="J91" s="3">
        <f t="shared" si="11"/>
        <v>6.6829559172157049E-2</v>
      </c>
      <c r="K91" s="3">
        <f t="shared" si="12"/>
        <v>2.6896146239777652E-2</v>
      </c>
      <c r="L91" s="3">
        <f t="shared" si="13"/>
        <v>4.5967310160300645E-2</v>
      </c>
    </row>
    <row r="92" spans="1:12" x14ac:dyDescent="0.2">
      <c r="A92" s="9">
        <v>41607</v>
      </c>
      <c r="B92">
        <v>26.515000000000001</v>
      </c>
      <c r="C92">
        <v>45.046399999999998</v>
      </c>
      <c r="D92">
        <v>77.822999999999993</v>
      </c>
      <c r="E92">
        <v>99.489000000000004</v>
      </c>
      <c r="F92">
        <v>3233.72</v>
      </c>
      <c r="H92" s="3">
        <f t="shared" si="9"/>
        <v>2.8151537477218991E-2</v>
      </c>
      <c r="I92" s="3">
        <f t="shared" si="10"/>
        <v>8.5175629416029963E-2</v>
      </c>
      <c r="J92" s="3">
        <f t="shared" si="11"/>
        <v>6.0952666593957705E-2</v>
      </c>
      <c r="K92" s="3">
        <f t="shared" si="12"/>
        <v>3.5685658071433757E-2</v>
      </c>
      <c r="L92" s="3">
        <f t="shared" si="13"/>
        <v>3.0473917877628764E-2</v>
      </c>
    </row>
    <row r="93" spans="1:12" x14ac:dyDescent="0.2">
      <c r="A93" s="9">
        <v>41639</v>
      </c>
      <c r="B93">
        <v>28.045000000000002</v>
      </c>
      <c r="C93">
        <v>44.195799999999998</v>
      </c>
      <c r="D93">
        <v>85.459000000000003</v>
      </c>
      <c r="E93">
        <v>102.05200000000001</v>
      </c>
      <c r="F93">
        <v>3315.5900999999999</v>
      </c>
      <c r="H93" s="3">
        <f t="shared" si="9"/>
        <v>5.7703186875353696E-2</v>
      </c>
      <c r="I93" s="3">
        <f t="shared" si="10"/>
        <v>-1.8882752006819659E-2</v>
      </c>
      <c r="J93" s="3">
        <f t="shared" si="11"/>
        <v>9.8120093031623279E-2</v>
      </c>
      <c r="K93" s="3">
        <f t="shared" si="12"/>
        <v>2.5761641990571738E-2</v>
      </c>
      <c r="L93" s="3">
        <f t="shared" si="13"/>
        <v>2.5317621810175384E-2</v>
      </c>
    </row>
    <row r="94" spans="1:12" x14ac:dyDescent="0.2">
      <c r="A94" s="9">
        <v>41670</v>
      </c>
      <c r="B94">
        <v>29.553000000000001</v>
      </c>
      <c r="C94">
        <v>44.703800000000001</v>
      </c>
      <c r="D94">
        <v>77.515000000000001</v>
      </c>
      <c r="E94">
        <v>95.248000000000005</v>
      </c>
      <c r="F94">
        <v>3200.95</v>
      </c>
      <c r="H94" s="3">
        <f t="shared" si="9"/>
        <v>5.3770725619539883E-2</v>
      </c>
      <c r="I94" s="3">
        <f t="shared" si="10"/>
        <v>1.1494304888699958E-2</v>
      </c>
      <c r="J94" s="3">
        <f t="shared" si="11"/>
        <v>-9.2956856504288643E-2</v>
      </c>
      <c r="K94" s="3">
        <f t="shared" si="12"/>
        <v>-6.6671892760553408E-2</v>
      </c>
      <c r="L94" s="3">
        <f t="shared" si="13"/>
        <v>-3.4576077422839524E-2</v>
      </c>
    </row>
    <row r="95" spans="1:12" x14ac:dyDescent="0.2">
      <c r="A95" s="9">
        <v>41698</v>
      </c>
      <c r="B95">
        <v>30.420999999999999</v>
      </c>
      <c r="C95">
        <v>45.597700000000003</v>
      </c>
      <c r="D95">
        <v>79.603999999999999</v>
      </c>
      <c r="E95">
        <v>101.66800000000001</v>
      </c>
      <c r="F95">
        <v>3347.3798999999999</v>
      </c>
      <c r="H95" s="3">
        <f t="shared" si="9"/>
        <v>2.9370960646973199E-2</v>
      </c>
      <c r="I95" s="3">
        <f t="shared" si="10"/>
        <v>1.9996062974512174E-2</v>
      </c>
      <c r="J95" s="3">
        <f t="shared" si="11"/>
        <v>2.6949622653679839E-2</v>
      </c>
      <c r="K95" s="3">
        <f t="shared" si="12"/>
        <v>6.7402990089030723E-2</v>
      </c>
      <c r="L95" s="3">
        <f t="shared" si="13"/>
        <v>4.5745762976616255E-2</v>
      </c>
    </row>
    <row r="96" spans="1:12" x14ac:dyDescent="0.2">
      <c r="A96" s="9">
        <v>41729</v>
      </c>
      <c r="B96">
        <v>27.89</v>
      </c>
      <c r="C96">
        <v>48.787500000000001</v>
      </c>
      <c r="D96">
        <v>76.510999999999996</v>
      </c>
      <c r="E96">
        <v>98.641000000000005</v>
      </c>
      <c r="F96">
        <v>3375.51</v>
      </c>
      <c r="H96" s="3">
        <f t="shared" si="9"/>
        <v>-8.3199105880806035E-2</v>
      </c>
      <c r="I96" s="3">
        <f t="shared" si="10"/>
        <v>6.9955282832248056E-2</v>
      </c>
      <c r="J96" s="3">
        <f t="shared" si="11"/>
        <v>-3.885483141550683E-2</v>
      </c>
      <c r="K96" s="3">
        <f t="shared" si="12"/>
        <v>-2.9773380021245632E-2</v>
      </c>
      <c r="L96" s="3">
        <f t="shared" si="13"/>
        <v>8.4036174083499393E-3</v>
      </c>
    </row>
    <row r="97" spans="1:12" x14ac:dyDescent="0.2">
      <c r="A97" s="9">
        <v>41759</v>
      </c>
      <c r="B97">
        <v>26.744</v>
      </c>
      <c r="C97">
        <v>48.085299999999997</v>
      </c>
      <c r="D97">
        <v>75.448999999999998</v>
      </c>
      <c r="E97">
        <v>99.114000000000004</v>
      </c>
      <c r="F97">
        <v>3400.46</v>
      </c>
      <c r="H97" s="3">
        <f t="shared" si="9"/>
        <v>-4.1089996414485519E-2</v>
      </c>
      <c r="I97" s="3">
        <f t="shared" si="10"/>
        <v>-1.4393031001793566E-2</v>
      </c>
      <c r="J97" s="3">
        <f t="shared" si="11"/>
        <v>-1.3880357072839189E-2</v>
      </c>
      <c r="K97" s="3">
        <f t="shared" si="12"/>
        <v>4.7951663101550857E-3</v>
      </c>
      <c r="L97" s="3">
        <f t="shared" si="13"/>
        <v>7.3914756584929631E-3</v>
      </c>
    </row>
    <row r="98" spans="1:12" x14ac:dyDescent="0.2">
      <c r="A98" s="9">
        <v>41789</v>
      </c>
      <c r="B98">
        <v>28.582999999999998</v>
      </c>
      <c r="C98">
        <v>49.0655</v>
      </c>
      <c r="D98">
        <v>78.424000000000007</v>
      </c>
      <c r="E98">
        <v>100.012</v>
      </c>
      <c r="F98">
        <v>3480.29</v>
      </c>
      <c r="H98" s="3">
        <f t="shared" si="9"/>
        <v>6.8763087047561955E-2</v>
      </c>
      <c r="I98" s="3">
        <f t="shared" si="10"/>
        <v>2.0384608185869846E-2</v>
      </c>
      <c r="J98" s="3">
        <f t="shared" si="11"/>
        <v>3.9430608755583352E-2</v>
      </c>
      <c r="K98" s="3">
        <f t="shared" si="12"/>
        <v>9.0602740278871163E-3</v>
      </c>
      <c r="L98" s="3">
        <f t="shared" si="13"/>
        <v>2.3476235568129056E-2</v>
      </c>
    </row>
    <row r="99" spans="1:12" x14ac:dyDescent="0.2">
      <c r="A99" s="9">
        <v>41820</v>
      </c>
      <c r="B99">
        <v>29.233000000000001</v>
      </c>
      <c r="C99">
        <v>49.976399999999998</v>
      </c>
      <c r="D99">
        <v>75.367000000000004</v>
      </c>
      <c r="E99">
        <v>101.51</v>
      </c>
      <c r="F99">
        <v>3552.1799000000001</v>
      </c>
      <c r="H99" s="3">
        <f t="shared" si="9"/>
        <v>2.274078998005824E-2</v>
      </c>
      <c r="I99" s="3">
        <f t="shared" si="10"/>
        <v>1.8564979466223708E-2</v>
      </c>
      <c r="J99" s="3">
        <f t="shared" si="11"/>
        <v>-3.8980414158930943E-2</v>
      </c>
      <c r="K99" s="3">
        <f t="shared" si="12"/>
        <v>1.4978202615686165E-2</v>
      </c>
      <c r="L99" s="3">
        <f t="shared" si="13"/>
        <v>2.0656295883389131E-2</v>
      </c>
    </row>
    <row r="100" spans="1:12" x14ac:dyDescent="0.2">
      <c r="A100" s="9">
        <v>41851</v>
      </c>
      <c r="B100">
        <v>28.978000000000002</v>
      </c>
      <c r="C100">
        <v>51.726100000000002</v>
      </c>
      <c r="D100">
        <v>76.174999999999997</v>
      </c>
      <c r="E100">
        <v>101.372</v>
      </c>
      <c r="F100">
        <v>3503.1898999999999</v>
      </c>
      <c r="H100" s="3">
        <f t="shared" si="9"/>
        <v>-8.7230185064823829E-3</v>
      </c>
      <c r="I100" s="3">
        <f t="shared" si="10"/>
        <v>3.5010524967784784E-2</v>
      </c>
      <c r="J100" s="3">
        <f t="shared" si="11"/>
        <v>1.0720872530417758E-2</v>
      </c>
      <c r="K100" s="3">
        <f t="shared" si="12"/>
        <v>-1.359471973204629E-3</v>
      </c>
      <c r="L100" s="3">
        <f t="shared" si="13"/>
        <v>-1.3791531222841602E-2</v>
      </c>
    </row>
    <row r="101" spans="1:12" x14ac:dyDescent="0.2">
      <c r="A101" s="9">
        <v>41880</v>
      </c>
      <c r="B101">
        <v>29.117999999999999</v>
      </c>
      <c r="C101">
        <v>54.783000000000001</v>
      </c>
      <c r="D101">
        <v>77.88</v>
      </c>
      <c r="E101">
        <v>117.233</v>
      </c>
      <c r="F101">
        <v>3643.3400999999999</v>
      </c>
      <c r="H101" s="3">
        <f t="shared" si="9"/>
        <v>4.831251294085126E-3</v>
      </c>
      <c r="I101" s="3">
        <f t="shared" si="10"/>
        <v>5.909782488917581E-2</v>
      </c>
      <c r="J101" s="3">
        <f t="shared" si="11"/>
        <v>2.2382671480144278E-2</v>
      </c>
      <c r="K101" s="3">
        <f t="shared" si="12"/>
        <v>0.15646332320561895</v>
      </c>
      <c r="L101" s="3">
        <f t="shared" si="13"/>
        <v>4.0006452404992343E-2</v>
      </c>
    </row>
    <row r="102" spans="1:12" x14ac:dyDescent="0.2">
      <c r="A102" s="9">
        <v>41912</v>
      </c>
      <c r="B102">
        <v>29.42</v>
      </c>
      <c r="C102">
        <v>55.904499999999999</v>
      </c>
      <c r="D102">
        <v>75.938000000000002</v>
      </c>
      <c r="E102">
        <v>115.619</v>
      </c>
      <c r="F102">
        <v>3592.25</v>
      </c>
      <c r="H102" s="3">
        <f t="shared" si="9"/>
        <v>1.0371591455457185E-2</v>
      </c>
      <c r="I102" s="3">
        <f t="shared" si="10"/>
        <v>2.0471679170545487E-2</v>
      </c>
      <c r="J102" s="3">
        <f t="shared" si="11"/>
        <v>-2.4935798664612152E-2</v>
      </c>
      <c r="K102" s="3">
        <f t="shared" si="12"/>
        <v>-1.376745455631101E-2</v>
      </c>
      <c r="L102" s="3">
        <f t="shared" si="13"/>
        <v>-1.4022874230160354E-2</v>
      </c>
    </row>
    <row r="103" spans="1:12" x14ac:dyDescent="0.2">
      <c r="A103" s="9">
        <v>41943</v>
      </c>
      <c r="B103">
        <v>28.393000000000001</v>
      </c>
      <c r="C103">
        <v>56.615900000000003</v>
      </c>
      <c r="D103">
        <v>86.165999999999997</v>
      </c>
      <c r="E103">
        <v>122.904</v>
      </c>
      <c r="F103">
        <v>3679.99</v>
      </c>
      <c r="H103" s="3">
        <f t="shared" si="9"/>
        <v>-3.4908225696804962E-2</v>
      </c>
      <c r="I103" s="3">
        <f t="shared" si="10"/>
        <v>1.2725272563031576E-2</v>
      </c>
      <c r="J103" s="3">
        <f t="shared" si="11"/>
        <v>0.13468882509415558</v>
      </c>
      <c r="K103" s="3">
        <f t="shared" si="12"/>
        <v>6.3008675044759155E-2</v>
      </c>
      <c r="L103" s="3">
        <f t="shared" si="13"/>
        <v>2.4424803396200012E-2</v>
      </c>
    </row>
    <row r="104" spans="1:12" x14ac:dyDescent="0.2">
      <c r="A104" s="9">
        <v>41971</v>
      </c>
      <c r="B104">
        <v>27.454000000000001</v>
      </c>
      <c r="C104">
        <v>58.0197</v>
      </c>
      <c r="D104">
        <v>89.808999999999997</v>
      </c>
      <c r="E104">
        <v>125.273</v>
      </c>
      <c r="F104">
        <v>3778.96</v>
      </c>
      <c r="H104" s="3">
        <f t="shared" si="9"/>
        <v>-3.3071531715563651E-2</v>
      </c>
      <c r="I104" s="3">
        <f t="shared" si="10"/>
        <v>2.4795154718020962E-2</v>
      </c>
      <c r="J104" s="3">
        <f t="shared" si="11"/>
        <v>4.227885708980339E-2</v>
      </c>
      <c r="K104" s="3">
        <f t="shared" si="12"/>
        <v>1.9275206665364752E-2</v>
      </c>
      <c r="L104" s="3">
        <f t="shared" si="13"/>
        <v>2.6894094820909986E-2</v>
      </c>
    </row>
    <row r="105" spans="1:12" x14ac:dyDescent="0.2">
      <c r="A105" s="9">
        <v>42004</v>
      </c>
      <c r="B105">
        <v>26.533000000000001</v>
      </c>
      <c r="C105">
        <v>56.369199999999999</v>
      </c>
      <c r="D105">
        <v>88.646000000000001</v>
      </c>
      <c r="E105">
        <v>132.92599999999999</v>
      </c>
      <c r="F105">
        <v>3769.4398999999999</v>
      </c>
      <c r="H105" s="3">
        <f t="shared" si="9"/>
        <v>-3.3547024113061874E-2</v>
      </c>
      <c r="I105" s="3">
        <f t="shared" si="10"/>
        <v>-2.8447234301452795E-2</v>
      </c>
      <c r="J105" s="3">
        <f t="shared" si="11"/>
        <v>-1.2949704372613002E-2</v>
      </c>
      <c r="K105" s="3">
        <f t="shared" si="12"/>
        <v>6.1090578177260824E-2</v>
      </c>
      <c r="L105" s="3">
        <f t="shared" si="13"/>
        <v>-2.5192380972542949E-3</v>
      </c>
    </row>
    <row r="106" spans="1:12" x14ac:dyDescent="0.2">
      <c r="A106" s="7"/>
      <c r="H106" s="3"/>
      <c r="I106" s="3"/>
      <c r="J106" s="3"/>
      <c r="K106" s="3"/>
      <c r="L106" s="3"/>
    </row>
    <row r="107" spans="1:12" x14ac:dyDescent="0.2">
      <c r="A107" s="7"/>
      <c r="H107" s="3"/>
      <c r="I107" s="3"/>
      <c r="J107" s="3"/>
      <c r="K107" s="3"/>
      <c r="L107" s="3"/>
    </row>
    <row r="108" spans="1:12" x14ac:dyDescent="0.2">
      <c r="A108" s="7"/>
      <c r="H108" s="3"/>
      <c r="I108" s="3"/>
      <c r="J108" s="3"/>
      <c r="K108" s="3"/>
      <c r="L108" s="3"/>
    </row>
    <row r="109" spans="1:12" x14ac:dyDescent="0.2">
      <c r="A109" s="7"/>
      <c r="H109" s="3"/>
      <c r="I109" s="3"/>
      <c r="J109" s="3"/>
      <c r="K109" s="3"/>
      <c r="L109" s="3"/>
    </row>
    <row r="110" spans="1:12" x14ac:dyDescent="0.2">
      <c r="A110" s="7"/>
      <c r="H110" s="3"/>
      <c r="I110" s="3"/>
      <c r="J110" s="3"/>
      <c r="K110" s="3"/>
      <c r="L110" s="3"/>
    </row>
    <row r="111" spans="1:12" x14ac:dyDescent="0.2">
      <c r="A111" s="7"/>
      <c r="H111" s="3"/>
      <c r="I111" s="3"/>
      <c r="J111" s="3"/>
      <c r="K111" s="3"/>
      <c r="L111" s="3"/>
    </row>
    <row r="112" spans="1:12" x14ac:dyDescent="0.2">
      <c r="A112" s="7"/>
      <c r="H112" s="3"/>
      <c r="I112" s="3"/>
      <c r="J112" s="3"/>
      <c r="K112" s="3"/>
      <c r="L112" s="3"/>
    </row>
    <row r="113" spans="1:12" x14ac:dyDescent="0.2">
      <c r="A113" s="7"/>
      <c r="H113" s="3"/>
      <c r="I113" s="3"/>
      <c r="J113" s="3"/>
      <c r="K113" s="3"/>
      <c r="L113" s="3"/>
    </row>
    <row r="114" spans="1:12" x14ac:dyDescent="0.2">
      <c r="A114" s="7"/>
      <c r="H114" s="3"/>
      <c r="I114" s="3"/>
      <c r="J114" s="3"/>
      <c r="K114" s="3"/>
      <c r="L114" s="3"/>
    </row>
    <row r="115" spans="1:12" x14ac:dyDescent="0.2">
      <c r="A115" s="7"/>
      <c r="H115" s="3"/>
      <c r="I115" s="3"/>
      <c r="J115" s="3"/>
      <c r="K115" s="3"/>
      <c r="L115" s="3"/>
    </row>
    <row r="116" spans="1:12" x14ac:dyDescent="0.2">
      <c r="A116" s="7"/>
      <c r="H116" s="3"/>
      <c r="I116" s="3"/>
      <c r="J116" s="3"/>
      <c r="K116" s="3"/>
      <c r="L116" s="3"/>
    </row>
    <row r="117" spans="1:12" x14ac:dyDescent="0.2">
      <c r="A117" s="7"/>
      <c r="H117" s="3"/>
      <c r="I117" s="3"/>
      <c r="J117" s="3"/>
      <c r="K117" s="3"/>
      <c r="L117" s="3"/>
    </row>
    <row r="118" spans="1:12" x14ac:dyDescent="0.2">
      <c r="A118" s="7"/>
      <c r="H118" s="3"/>
      <c r="I118" s="3"/>
      <c r="J118" s="3"/>
      <c r="K118" s="3"/>
      <c r="L118" s="3"/>
    </row>
    <row r="119" spans="1:12" x14ac:dyDescent="0.2">
      <c r="A119" s="7"/>
      <c r="H119" s="3"/>
      <c r="I119" s="3"/>
      <c r="J119" s="3"/>
      <c r="K119" s="3"/>
      <c r="L119" s="3"/>
    </row>
    <row r="120" spans="1:12" x14ac:dyDescent="0.2">
      <c r="A120" s="7"/>
      <c r="H120" s="3"/>
      <c r="I120" s="3"/>
      <c r="J120" s="3"/>
      <c r="K120" s="3"/>
      <c r="L120" s="3"/>
    </row>
    <row r="121" spans="1:12" x14ac:dyDescent="0.2">
      <c r="A121" s="7"/>
      <c r="H121" s="3"/>
      <c r="I121" s="3"/>
      <c r="J121" s="3"/>
      <c r="K121" s="3"/>
      <c r="L121" s="3"/>
    </row>
    <row r="122" spans="1:12" x14ac:dyDescent="0.2">
      <c r="A122" s="7"/>
      <c r="H122" s="3"/>
      <c r="I122" s="3"/>
      <c r="J122" s="3"/>
      <c r="K122" s="3"/>
      <c r="L122" s="3"/>
    </row>
    <row r="123" spans="1:12" x14ac:dyDescent="0.2">
      <c r="A123" s="7"/>
      <c r="H123" s="3"/>
      <c r="I123" s="3"/>
      <c r="J123" s="3"/>
      <c r="K123" s="3"/>
      <c r="L123" s="3"/>
    </row>
    <row r="124" spans="1:12" x14ac:dyDescent="0.2">
      <c r="A124" s="7"/>
      <c r="H124" s="3"/>
      <c r="I124" s="3"/>
      <c r="J124" s="3"/>
      <c r="K124" s="3"/>
      <c r="L124" s="3"/>
    </row>
    <row r="125" spans="1:12" x14ac:dyDescent="0.2">
      <c r="A125" s="7"/>
      <c r="H125" s="3"/>
      <c r="I125" s="3"/>
      <c r="J125" s="3"/>
      <c r="K125" s="3"/>
      <c r="L125" s="3"/>
    </row>
    <row r="126" spans="1:12" x14ac:dyDescent="0.2">
      <c r="A126" s="7"/>
      <c r="H126" s="3"/>
      <c r="I126" s="3"/>
      <c r="J126" s="3"/>
      <c r="K126" s="3"/>
      <c r="L126" s="3"/>
    </row>
    <row r="127" spans="1:12" x14ac:dyDescent="0.2">
      <c r="A127" s="7"/>
      <c r="H127" s="3"/>
      <c r="I127" s="3"/>
      <c r="J127" s="3"/>
      <c r="K127" s="3"/>
      <c r="L127" s="3"/>
    </row>
    <row r="128" spans="1:12" x14ac:dyDescent="0.2">
      <c r="A128" s="7"/>
      <c r="H128" s="3"/>
      <c r="I128" s="3"/>
      <c r="J128" s="3"/>
      <c r="K128" s="3"/>
      <c r="L128" s="3"/>
    </row>
    <row r="129" spans="1:12" x14ac:dyDescent="0.2">
      <c r="A129" s="7"/>
      <c r="H129" s="3"/>
      <c r="I129" s="3"/>
      <c r="J129" s="3"/>
      <c r="K129" s="3"/>
      <c r="L129" s="3"/>
    </row>
    <row r="130" spans="1:12" x14ac:dyDescent="0.2">
      <c r="A130" s="7"/>
      <c r="H130" s="3"/>
      <c r="I130" s="3"/>
      <c r="J130" s="3"/>
      <c r="K130" s="3"/>
      <c r="L130" s="3"/>
    </row>
    <row r="131" spans="1:12" x14ac:dyDescent="0.2">
      <c r="A131" s="7"/>
      <c r="H131" s="3"/>
      <c r="I131" s="3"/>
      <c r="J131" s="3"/>
      <c r="K131" s="3"/>
      <c r="L131" s="3"/>
    </row>
    <row r="132" spans="1:12" x14ac:dyDescent="0.2">
      <c r="A132" s="7"/>
      <c r="H132" s="3"/>
      <c r="I132" s="3"/>
      <c r="J132" s="3"/>
      <c r="K132" s="3"/>
      <c r="L132" s="3"/>
    </row>
    <row r="133" spans="1:12" x14ac:dyDescent="0.2">
      <c r="A133" s="7"/>
      <c r="H133" s="3"/>
      <c r="I133" s="3"/>
      <c r="J133" s="3"/>
      <c r="K133" s="3"/>
      <c r="L133" s="3"/>
    </row>
    <row r="134" spans="1:12" x14ac:dyDescent="0.2">
      <c r="A134" s="7"/>
      <c r="H134" s="3"/>
      <c r="I134" s="3"/>
      <c r="J134" s="3"/>
      <c r="K134" s="3"/>
      <c r="L134" s="3"/>
    </row>
    <row r="135" spans="1:12" x14ac:dyDescent="0.2">
      <c r="A135" s="7"/>
      <c r="H135" s="3"/>
      <c r="I135" s="3"/>
      <c r="J135" s="3"/>
      <c r="K135" s="3"/>
      <c r="L135" s="3"/>
    </row>
    <row r="136" spans="1:12" x14ac:dyDescent="0.2">
      <c r="A136" s="7"/>
      <c r="H136" s="3"/>
      <c r="I136" s="3"/>
      <c r="J136" s="3"/>
      <c r="K136" s="3"/>
      <c r="L136" s="3"/>
    </row>
    <row r="137" spans="1:12" x14ac:dyDescent="0.2">
      <c r="A137" s="7"/>
      <c r="H137" s="3"/>
      <c r="I137" s="3"/>
      <c r="J137" s="3"/>
      <c r="K137" s="3"/>
      <c r="L137" s="3"/>
    </row>
    <row r="138" spans="1:12" x14ac:dyDescent="0.2">
      <c r="A138" s="7"/>
      <c r="H138" s="3"/>
      <c r="I138" s="3"/>
      <c r="J138" s="3"/>
      <c r="K138" s="3"/>
      <c r="L138" s="3"/>
    </row>
    <row r="139" spans="1:12" x14ac:dyDescent="0.2">
      <c r="A139" s="7"/>
      <c r="H139" s="3"/>
      <c r="I139" s="3"/>
      <c r="J139" s="3"/>
      <c r="K139" s="3"/>
      <c r="L139" s="3"/>
    </row>
    <row r="140" spans="1:12" x14ac:dyDescent="0.2">
      <c r="A140" s="7"/>
      <c r="H140" s="3"/>
      <c r="I140" s="3"/>
      <c r="J140" s="3"/>
      <c r="K140" s="3"/>
      <c r="L140" s="3"/>
    </row>
    <row r="141" spans="1:12" x14ac:dyDescent="0.2">
      <c r="A141" s="7"/>
      <c r="H141" s="3"/>
      <c r="I141" s="3"/>
      <c r="J141" s="3"/>
      <c r="K141" s="3"/>
      <c r="L141" s="3"/>
    </row>
    <row r="142" spans="1:12" x14ac:dyDescent="0.2">
      <c r="A142" s="7"/>
      <c r="H142" s="3"/>
      <c r="I142" s="3"/>
      <c r="J142" s="3"/>
      <c r="K142" s="3"/>
      <c r="L142" s="3"/>
    </row>
    <row r="143" spans="1:12" x14ac:dyDescent="0.2">
      <c r="A143" s="7"/>
      <c r="H143" s="3"/>
      <c r="I143" s="3"/>
      <c r="J143" s="3"/>
      <c r="K143" s="3"/>
      <c r="L143" s="3"/>
    </row>
    <row r="144" spans="1:12" x14ac:dyDescent="0.2">
      <c r="A144" s="7"/>
      <c r="H144" s="3"/>
      <c r="I144" s="3"/>
      <c r="J144" s="3"/>
      <c r="K144" s="3"/>
      <c r="L144" s="3"/>
    </row>
    <row r="145" spans="1:12" x14ac:dyDescent="0.2">
      <c r="A145" s="7"/>
      <c r="H145" s="3"/>
      <c r="I145" s="3"/>
      <c r="J145" s="3"/>
      <c r="K145" s="3"/>
      <c r="L145" s="3"/>
    </row>
    <row r="146" spans="1:12" x14ac:dyDescent="0.2">
      <c r="A146" s="7"/>
      <c r="H146" s="3"/>
      <c r="I146" s="3"/>
      <c r="J146" s="3"/>
      <c r="K146" s="3"/>
      <c r="L146" s="3"/>
    </row>
    <row r="147" spans="1:12" x14ac:dyDescent="0.2">
      <c r="A147" s="7"/>
      <c r="H147" s="3"/>
      <c r="I147" s="3"/>
      <c r="J147" s="3"/>
      <c r="K147" s="3"/>
      <c r="L147" s="3"/>
    </row>
    <row r="148" spans="1:12" x14ac:dyDescent="0.2">
      <c r="A148" s="7"/>
      <c r="H148" s="3"/>
      <c r="I148" s="3"/>
      <c r="J148" s="3"/>
      <c r="K148" s="3"/>
      <c r="L148" s="3"/>
    </row>
    <row r="149" spans="1:12" x14ac:dyDescent="0.2">
      <c r="A149" s="7"/>
      <c r="H149" s="3"/>
      <c r="I149" s="3"/>
      <c r="J149" s="3"/>
      <c r="K149" s="3"/>
      <c r="L149" s="3"/>
    </row>
    <row r="150" spans="1:12" x14ac:dyDescent="0.2">
      <c r="A150" s="7"/>
      <c r="H150" s="3"/>
      <c r="I150" s="3"/>
      <c r="J150" s="3"/>
      <c r="K150" s="3"/>
      <c r="L150" s="3"/>
    </row>
    <row r="151" spans="1:12" x14ac:dyDescent="0.2">
      <c r="A151" s="7"/>
      <c r="H151" s="3"/>
      <c r="I151" s="3"/>
      <c r="J151" s="3"/>
      <c r="K151" s="3"/>
      <c r="L151" s="3"/>
    </row>
    <row r="152" spans="1:12" x14ac:dyDescent="0.2">
      <c r="A152" s="7"/>
      <c r="H152" s="3"/>
      <c r="I152" s="3"/>
      <c r="J152" s="3"/>
      <c r="K152" s="3"/>
      <c r="L152" s="3"/>
    </row>
    <row r="153" spans="1:12" x14ac:dyDescent="0.2">
      <c r="A153" s="7"/>
      <c r="H153" s="3"/>
      <c r="I153" s="3"/>
      <c r="J153" s="3"/>
      <c r="K153" s="3"/>
      <c r="L153" s="3"/>
    </row>
    <row r="154" spans="1:12" x14ac:dyDescent="0.2">
      <c r="A154" s="7"/>
      <c r="H154" s="3"/>
      <c r="I154" s="3"/>
      <c r="J154" s="3"/>
      <c r="K154" s="3"/>
      <c r="L154" s="3"/>
    </row>
    <row r="155" spans="1:12" x14ac:dyDescent="0.2">
      <c r="A155" s="7"/>
      <c r="H155" s="3"/>
      <c r="I155" s="3"/>
      <c r="J155" s="3"/>
      <c r="K155" s="3"/>
      <c r="L155" s="3"/>
    </row>
    <row r="156" spans="1:12" x14ac:dyDescent="0.2">
      <c r="A156" s="7"/>
      <c r="H156" s="3"/>
      <c r="I156" s="3"/>
      <c r="J156" s="3"/>
      <c r="K156" s="3"/>
      <c r="L156" s="3"/>
    </row>
    <row r="157" spans="1:12" x14ac:dyDescent="0.2">
      <c r="A157" s="7"/>
      <c r="H157" s="3"/>
      <c r="I157" s="3"/>
      <c r="J157" s="3"/>
      <c r="K157" s="3"/>
      <c r="L157" s="3"/>
    </row>
    <row r="158" spans="1:12" x14ac:dyDescent="0.2">
      <c r="A158" s="7"/>
      <c r="H158" s="3"/>
      <c r="I158" s="3"/>
      <c r="J158" s="3"/>
      <c r="K158" s="3"/>
      <c r="L158" s="3"/>
    </row>
    <row r="159" spans="1:12" x14ac:dyDescent="0.2">
      <c r="A159" s="7"/>
      <c r="H159" s="3"/>
      <c r="I159" s="3"/>
      <c r="J159" s="3"/>
      <c r="K159" s="3"/>
      <c r="L159" s="3"/>
    </row>
    <row r="160" spans="1:12" x14ac:dyDescent="0.2">
      <c r="A160" s="7"/>
      <c r="H160" s="3"/>
      <c r="I160" s="3"/>
      <c r="J160" s="3"/>
      <c r="K160" s="3"/>
      <c r="L160" s="3"/>
    </row>
    <row r="161" spans="1:12" x14ac:dyDescent="0.2">
      <c r="A161" s="7"/>
      <c r="H161" s="3"/>
      <c r="I161" s="3"/>
      <c r="J161" s="3"/>
      <c r="K161" s="3"/>
      <c r="L161" s="3"/>
    </row>
    <row r="162" spans="1:12" x14ac:dyDescent="0.2">
      <c r="A162" s="7"/>
      <c r="H162" s="3"/>
      <c r="I162" s="3"/>
      <c r="J162" s="3"/>
      <c r="K162" s="3"/>
      <c r="L162" s="3"/>
    </row>
    <row r="163" spans="1:12" x14ac:dyDescent="0.2">
      <c r="A163" s="7"/>
      <c r="H163" s="3"/>
      <c r="I163" s="3"/>
      <c r="J163" s="3"/>
      <c r="K163" s="3"/>
      <c r="L163" s="3"/>
    </row>
    <row r="164" spans="1:12" x14ac:dyDescent="0.2">
      <c r="A164" s="7"/>
      <c r="H164" s="3"/>
      <c r="I164" s="3"/>
      <c r="J164" s="3"/>
      <c r="K164" s="3"/>
      <c r="L164" s="3"/>
    </row>
    <row r="165" spans="1:12" x14ac:dyDescent="0.2">
      <c r="A165" s="7"/>
      <c r="H165" s="3"/>
      <c r="I165" s="3"/>
      <c r="J165" s="3"/>
      <c r="K165" s="3"/>
      <c r="L165" s="3"/>
    </row>
    <row r="166" spans="1:12" x14ac:dyDescent="0.2">
      <c r="A166" s="7"/>
      <c r="H166" s="3"/>
      <c r="I166" s="3"/>
      <c r="J166" s="3"/>
      <c r="K166" s="3"/>
      <c r="L166" s="3"/>
    </row>
    <row r="167" spans="1:12" x14ac:dyDescent="0.2">
      <c r="A167" s="7"/>
      <c r="H167" s="3"/>
      <c r="I167" s="3"/>
      <c r="J167" s="3"/>
      <c r="K167" s="3"/>
      <c r="L167" s="3"/>
    </row>
    <row r="168" spans="1:12" x14ac:dyDescent="0.2">
      <c r="A168" s="7"/>
      <c r="H168" s="3"/>
      <c r="I168" s="3"/>
      <c r="J168" s="3"/>
      <c r="K168" s="3"/>
      <c r="L168" s="3"/>
    </row>
    <row r="169" spans="1:12" x14ac:dyDescent="0.2">
      <c r="A169" s="7"/>
      <c r="H169" s="3"/>
      <c r="I169" s="3"/>
      <c r="J169" s="3"/>
      <c r="K169" s="3"/>
      <c r="L169" s="3"/>
    </row>
    <row r="170" spans="1:12" x14ac:dyDescent="0.2">
      <c r="A170" s="7"/>
      <c r="H170" s="3"/>
      <c r="I170" s="3"/>
      <c r="J170" s="3"/>
      <c r="K170" s="3"/>
      <c r="L170" s="3"/>
    </row>
    <row r="171" spans="1:12" x14ac:dyDescent="0.2">
      <c r="A171" s="7"/>
      <c r="H171" s="3"/>
      <c r="I171" s="3"/>
      <c r="J171" s="3"/>
      <c r="K171" s="3"/>
      <c r="L171" s="3"/>
    </row>
    <row r="172" spans="1:12" x14ac:dyDescent="0.2">
      <c r="A172" s="7"/>
      <c r="H172" s="3"/>
      <c r="I172" s="3"/>
      <c r="J172" s="3"/>
      <c r="K172" s="3"/>
      <c r="L172" s="3"/>
    </row>
    <row r="173" spans="1:12" x14ac:dyDescent="0.2">
      <c r="A173" s="7"/>
      <c r="H173" s="3"/>
      <c r="I173" s="3"/>
      <c r="J173" s="3"/>
      <c r="K173" s="3"/>
      <c r="L173" s="3"/>
    </row>
    <row r="174" spans="1:12" x14ac:dyDescent="0.2">
      <c r="A174" s="7"/>
      <c r="H174" s="3"/>
      <c r="I174" s="3"/>
      <c r="J174" s="3"/>
      <c r="K174" s="3"/>
      <c r="L174" s="3"/>
    </row>
    <row r="175" spans="1:12" x14ac:dyDescent="0.2">
      <c r="A175" s="7"/>
      <c r="H175" s="3"/>
      <c r="I175" s="3"/>
      <c r="J175" s="3"/>
      <c r="K175" s="3"/>
      <c r="L175" s="3"/>
    </row>
    <row r="176" spans="1:12" x14ac:dyDescent="0.2">
      <c r="A176" s="7"/>
      <c r="H176" s="3"/>
      <c r="I176" s="3"/>
      <c r="J176" s="3"/>
      <c r="K176" s="3"/>
      <c r="L176" s="3"/>
    </row>
    <row r="177" spans="1:12" x14ac:dyDescent="0.2">
      <c r="A177" s="7"/>
      <c r="H177" s="3"/>
      <c r="I177" s="3"/>
      <c r="J177" s="3"/>
      <c r="K177" s="3"/>
      <c r="L177" s="3"/>
    </row>
    <row r="178" spans="1:12" x14ac:dyDescent="0.2">
      <c r="A178" s="7"/>
      <c r="H178" s="3"/>
      <c r="I178" s="3"/>
      <c r="J178" s="3"/>
      <c r="K178" s="3"/>
      <c r="L178" s="3"/>
    </row>
    <row r="179" spans="1:12" x14ac:dyDescent="0.2">
      <c r="A179" s="7"/>
      <c r="H179" s="3"/>
      <c r="I179" s="3"/>
      <c r="J179" s="3"/>
      <c r="K179" s="3"/>
      <c r="L179" s="3"/>
    </row>
    <row r="180" spans="1:12" x14ac:dyDescent="0.2">
      <c r="A180" s="7"/>
      <c r="H180" s="3"/>
      <c r="I180" s="3"/>
      <c r="J180" s="3"/>
      <c r="K180" s="3"/>
      <c r="L180" s="3"/>
    </row>
    <row r="181" spans="1:12" x14ac:dyDescent="0.2">
      <c r="A181" s="7"/>
      <c r="H181" s="3"/>
      <c r="I181" s="3"/>
      <c r="J181" s="3"/>
      <c r="K181" s="3"/>
      <c r="L181" s="3"/>
    </row>
    <row r="182" spans="1:12" x14ac:dyDescent="0.2">
      <c r="A182" s="7"/>
      <c r="H182" s="3"/>
      <c r="I182" s="3"/>
      <c r="J182" s="3"/>
      <c r="K182" s="3"/>
      <c r="L182" s="3"/>
    </row>
    <row r="183" spans="1:12" x14ac:dyDescent="0.2">
      <c r="A183" s="7"/>
      <c r="H183" s="3"/>
      <c r="I183" s="3"/>
      <c r="J183" s="3"/>
      <c r="K183" s="3"/>
      <c r="L183" s="3"/>
    </row>
    <row r="184" spans="1:12" x14ac:dyDescent="0.2">
      <c r="A184" s="7"/>
      <c r="H184" s="3"/>
      <c r="I184" s="3"/>
      <c r="J184" s="3"/>
      <c r="K184" s="3"/>
      <c r="L184" s="3"/>
    </row>
    <row r="185" spans="1:12" x14ac:dyDescent="0.2">
      <c r="A185" s="7"/>
      <c r="H185" s="3"/>
      <c r="I185" s="3"/>
      <c r="J185" s="3"/>
      <c r="K185" s="3"/>
      <c r="L185" s="3"/>
    </row>
    <row r="186" spans="1:12" x14ac:dyDescent="0.2">
      <c r="A186" s="7"/>
      <c r="H186" s="3"/>
      <c r="I186" s="3"/>
      <c r="J186" s="3"/>
      <c r="K186" s="3"/>
      <c r="L186" s="3"/>
    </row>
    <row r="187" spans="1:12" x14ac:dyDescent="0.2">
      <c r="A187" s="7"/>
      <c r="H187" s="3"/>
      <c r="I187" s="3"/>
      <c r="J187" s="3"/>
      <c r="K187" s="3"/>
      <c r="L187" s="3"/>
    </row>
    <row r="188" spans="1:12" x14ac:dyDescent="0.2">
      <c r="A188" s="7"/>
      <c r="H188" s="3"/>
      <c r="I188" s="3"/>
      <c r="J188" s="3"/>
      <c r="K188" s="3"/>
      <c r="L188" s="3"/>
    </row>
    <row r="189" spans="1:12" x14ac:dyDescent="0.2">
      <c r="A189" s="7"/>
      <c r="H189" s="3"/>
      <c r="I189" s="3"/>
      <c r="J189" s="3"/>
      <c r="K189" s="3"/>
      <c r="L189" s="3"/>
    </row>
    <row r="190" spans="1:12" x14ac:dyDescent="0.2">
      <c r="A190" s="7"/>
      <c r="H190" s="3"/>
      <c r="I190" s="3"/>
      <c r="J190" s="3"/>
      <c r="K190" s="3"/>
      <c r="L190" s="3"/>
    </row>
    <row r="191" spans="1:12" x14ac:dyDescent="0.2">
      <c r="A191" s="7"/>
      <c r="H191" s="3"/>
      <c r="I191" s="3"/>
      <c r="J191" s="3"/>
      <c r="K191" s="3"/>
      <c r="L191" s="3"/>
    </row>
    <row r="192" spans="1:12" x14ac:dyDescent="0.2">
      <c r="A192" s="7"/>
      <c r="H192" s="3"/>
      <c r="I192" s="3"/>
      <c r="J192" s="3"/>
      <c r="K192" s="3"/>
      <c r="L192" s="3"/>
    </row>
    <row r="193" spans="1:12" x14ac:dyDescent="0.2">
      <c r="A193" s="7"/>
      <c r="H193" s="3"/>
      <c r="I193" s="3"/>
      <c r="J193" s="3"/>
      <c r="K193" s="3"/>
      <c r="L193" s="3"/>
    </row>
    <row r="194" spans="1:12" x14ac:dyDescent="0.2">
      <c r="A194" s="7"/>
      <c r="H194" s="3"/>
      <c r="I194" s="3"/>
      <c r="J194" s="3"/>
      <c r="K194" s="3"/>
      <c r="L194" s="3"/>
    </row>
    <row r="195" spans="1:12" x14ac:dyDescent="0.2">
      <c r="A195" s="7"/>
      <c r="H195" s="3"/>
      <c r="I195" s="3"/>
      <c r="J195" s="3"/>
      <c r="K195" s="3"/>
      <c r="L195" s="3"/>
    </row>
    <row r="196" spans="1:12" x14ac:dyDescent="0.2">
      <c r="A196" s="7"/>
      <c r="H196" s="3"/>
      <c r="I196" s="3"/>
      <c r="J196" s="3"/>
      <c r="K196" s="3"/>
      <c r="L196" s="3"/>
    </row>
    <row r="197" spans="1:12" x14ac:dyDescent="0.2">
      <c r="A197" s="7"/>
      <c r="H197" s="3"/>
      <c r="I197" s="3"/>
      <c r="J197" s="3"/>
      <c r="K197" s="3"/>
      <c r="L197" s="3"/>
    </row>
    <row r="198" spans="1:12" x14ac:dyDescent="0.2">
      <c r="A198" s="7"/>
      <c r="H198" s="3"/>
      <c r="I198" s="3"/>
      <c r="J198" s="3"/>
      <c r="K198" s="3"/>
      <c r="L198" s="3"/>
    </row>
    <row r="199" spans="1:12" x14ac:dyDescent="0.2">
      <c r="A199" s="7"/>
      <c r="H199" s="3"/>
      <c r="I199" s="3"/>
      <c r="J199" s="3"/>
      <c r="K199" s="3"/>
      <c r="L199" s="3"/>
    </row>
    <row r="200" spans="1:12" x14ac:dyDescent="0.2">
      <c r="A200" s="7"/>
      <c r="H200" s="3"/>
      <c r="I200" s="3"/>
      <c r="J200" s="3"/>
      <c r="K200" s="3"/>
      <c r="L200" s="3"/>
    </row>
    <row r="201" spans="1:12" x14ac:dyDescent="0.2">
      <c r="A201" s="7"/>
      <c r="H201" s="3"/>
      <c r="I201" s="3"/>
      <c r="J201" s="3"/>
      <c r="K201" s="3"/>
      <c r="L201" s="3"/>
    </row>
    <row r="202" spans="1:12" x14ac:dyDescent="0.2">
      <c r="A202" s="7"/>
      <c r="H202" s="3"/>
      <c r="I202" s="3"/>
      <c r="J202" s="3"/>
      <c r="K202" s="3"/>
      <c r="L202" s="3"/>
    </row>
    <row r="203" spans="1:12" x14ac:dyDescent="0.2">
      <c r="A203" s="7"/>
      <c r="H203" s="3"/>
      <c r="I203" s="3"/>
      <c r="J203" s="3"/>
      <c r="K203" s="3"/>
      <c r="L203" s="3"/>
    </row>
    <row r="204" spans="1:12" x14ac:dyDescent="0.2">
      <c r="A204" s="7"/>
      <c r="H204" s="3"/>
      <c r="I204" s="3"/>
      <c r="J204" s="3"/>
      <c r="K204" s="3"/>
      <c r="L204" s="3"/>
    </row>
    <row r="205" spans="1:12" x14ac:dyDescent="0.2">
      <c r="A205" s="7"/>
      <c r="H205" s="3"/>
      <c r="I205" s="3"/>
      <c r="J205" s="3"/>
      <c r="K205" s="3"/>
      <c r="L205" s="3"/>
    </row>
    <row r="206" spans="1:12" x14ac:dyDescent="0.2">
      <c r="A206" s="7"/>
      <c r="H206" s="3"/>
      <c r="I206" s="3"/>
      <c r="J206" s="3"/>
      <c r="K206" s="3"/>
      <c r="L206" s="3"/>
    </row>
    <row r="207" spans="1:12" x14ac:dyDescent="0.2">
      <c r="A207" s="7"/>
      <c r="H207" s="3"/>
      <c r="I207" s="3"/>
      <c r="J207" s="3"/>
      <c r="K207" s="3"/>
      <c r="L207" s="3"/>
    </row>
    <row r="208" spans="1:12" x14ac:dyDescent="0.2">
      <c r="A208" s="7"/>
      <c r="H208" s="3"/>
      <c r="I208" s="3"/>
      <c r="J208" s="3"/>
      <c r="K208" s="3"/>
      <c r="L208" s="3"/>
    </row>
    <row r="209" spans="1:12" x14ac:dyDescent="0.2">
      <c r="A209" s="7"/>
      <c r="H209" s="3"/>
      <c r="I209" s="3"/>
      <c r="J209" s="3"/>
      <c r="K209" s="3"/>
      <c r="L209" s="3"/>
    </row>
    <row r="210" spans="1:12" x14ac:dyDescent="0.2">
      <c r="A210" s="7"/>
      <c r="H210" s="3"/>
      <c r="I210" s="3"/>
      <c r="J210" s="3"/>
      <c r="K210" s="3"/>
      <c r="L210" s="3"/>
    </row>
    <row r="211" spans="1:12" x14ac:dyDescent="0.2">
      <c r="A211" s="7"/>
      <c r="H211" s="3"/>
      <c r="I211" s="3"/>
      <c r="J211" s="3"/>
      <c r="K211" s="3"/>
      <c r="L211" s="3"/>
    </row>
    <row r="212" spans="1:12" x14ac:dyDescent="0.2">
      <c r="A212" s="7"/>
      <c r="H212" s="3"/>
      <c r="I212" s="3"/>
      <c r="J212" s="3"/>
      <c r="K212" s="3"/>
      <c r="L212" s="3"/>
    </row>
    <row r="213" spans="1:12" x14ac:dyDescent="0.2">
      <c r="A213" s="7"/>
      <c r="H213" s="3"/>
      <c r="I213" s="3"/>
      <c r="J213" s="3"/>
      <c r="K213" s="3"/>
      <c r="L213" s="3"/>
    </row>
    <row r="214" spans="1:12" x14ac:dyDescent="0.2">
      <c r="A214" s="7"/>
      <c r="H214" s="3"/>
      <c r="I214" s="3"/>
      <c r="J214" s="3"/>
      <c r="K214" s="3"/>
      <c r="L214" s="3"/>
    </row>
    <row r="215" spans="1:12" x14ac:dyDescent="0.2">
      <c r="A215" s="7"/>
      <c r="H215" s="3"/>
      <c r="I215" s="3"/>
      <c r="J215" s="3"/>
      <c r="K215" s="3"/>
      <c r="L215" s="3"/>
    </row>
    <row r="216" spans="1:12" x14ac:dyDescent="0.2">
      <c r="A216" s="7"/>
      <c r="H216" s="3"/>
      <c r="I216" s="3"/>
      <c r="J216" s="3"/>
      <c r="K216" s="3"/>
      <c r="L216" s="3"/>
    </row>
    <row r="217" spans="1:12" x14ac:dyDescent="0.2">
      <c r="A217" s="7"/>
      <c r="H217" s="3"/>
      <c r="I217" s="3"/>
      <c r="J217" s="3"/>
      <c r="K217" s="3"/>
      <c r="L217" s="3"/>
    </row>
    <row r="218" spans="1:12" x14ac:dyDescent="0.2">
      <c r="A218" s="7"/>
      <c r="H218" s="3"/>
      <c r="I218" s="3"/>
      <c r="J218" s="3"/>
      <c r="K218" s="3"/>
      <c r="L218" s="3"/>
    </row>
    <row r="219" spans="1:12" x14ac:dyDescent="0.2">
      <c r="A219" s="7"/>
      <c r="H219" s="3"/>
      <c r="I219" s="3"/>
      <c r="J219" s="3"/>
      <c r="K219" s="3"/>
      <c r="L219" s="3"/>
    </row>
    <row r="220" spans="1:12" x14ac:dyDescent="0.2">
      <c r="A220" s="7"/>
      <c r="H220" s="3"/>
      <c r="I220" s="3"/>
      <c r="J220" s="3"/>
      <c r="K220" s="3"/>
      <c r="L220" s="3"/>
    </row>
    <row r="221" spans="1:12" x14ac:dyDescent="0.2">
      <c r="A221" s="7"/>
      <c r="H221" s="3"/>
      <c r="I221" s="3"/>
      <c r="J221" s="3"/>
      <c r="K221" s="3"/>
      <c r="L221" s="3"/>
    </row>
    <row r="222" spans="1:12" x14ac:dyDescent="0.2">
      <c r="A222" s="7"/>
      <c r="H222" s="3"/>
      <c r="I222" s="3"/>
      <c r="J222" s="3"/>
      <c r="K222" s="3"/>
      <c r="L222" s="3"/>
    </row>
    <row r="223" spans="1:12" x14ac:dyDescent="0.2">
      <c r="A223" s="7"/>
      <c r="H223" s="3"/>
      <c r="I223" s="3"/>
      <c r="J223" s="3"/>
      <c r="K223" s="3"/>
      <c r="L223" s="3"/>
    </row>
    <row r="224" spans="1:12" x14ac:dyDescent="0.2">
      <c r="A224" s="7"/>
      <c r="H224" s="3"/>
      <c r="I224" s="3"/>
      <c r="J224" s="3"/>
      <c r="K224" s="3"/>
      <c r="L224" s="3"/>
    </row>
    <row r="225" spans="1:12" x14ac:dyDescent="0.2">
      <c r="A225" s="7"/>
      <c r="H225" s="3"/>
      <c r="I225" s="3"/>
      <c r="J225" s="3"/>
      <c r="K225" s="3"/>
      <c r="L225" s="3"/>
    </row>
    <row r="226" spans="1:12" x14ac:dyDescent="0.2">
      <c r="A226" s="7"/>
      <c r="H226" s="3"/>
      <c r="I226" s="3"/>
      <c r="J226" s="3"/>
      <c r="K226" s="3"/>
      <c r="L226" s="3"/>
    </row>
    <row r="227" spans="1:12" x14ac:dyDescent="0.2">
      <c r="A227" s="7"/>
      <c r="H227" s="3"/>
      <c r="I227" s="3"/>
      <c r="J227" s="3"/>
      <c r="K227" s="3"/>
      <c r="L227" s="3"/>
    </row>
    <row r="228" spans="1:12" x14ac:dyDescent="0.2">
      <c r="A228" s="7"/>
      <c r="H228" s="3"/>
      <c r="I228" s="3"/>
      <c r="J228" s="3"/>
      <c r="K228" s="3"/>
      <c r="L228" s="3"/>
    </row>
    <row r="229" spans="1:12" x14ac:dyDescent="0.2">
      <c r="A229" s="7"/>
      <c r="H229" s="3"/>
      <c r="I229" s="3"/>
      <c r="J229" s="3"/>
      <c r="K229" s="3"/>
      <c r="L229" s="3"/>
    </row>
    <row r="230" spans="1:12" x14ac:dyDescent="0.2">
      <c r="A230" s="7"/>
      <c r="H230" s="3"/>
      <c r="I230" s="3"/>
      <c r="J230" s="3"/>
      <c r="K230" s="3"/>
      <c r="L230" s="3"/>
    </row>
    <row r="231" spans="1:12" x14ac:dyDescent="0.2">
      <c r="A231" s="7"/>
      <c r="H231" s="3"/>
      <c r="I231" s="3"/>
      <c r="J231" s="3"/>
      <c r="K231" s="3"/>
      <c r="L231" s="3"/>
    </row>
    <row r="232" spans="1:12" x14ac:dyDescent="0.2">
      <c r="A232" s="7"/>
      <c r="H232" s="3"/>
      <c r="I232" s="3"/>
      <c r="J232" s="3"/>
      <c r="K232" s="3"/>
      <c r="L232" s="3"/>
    </row>
    <row r="233" spans="1:12" x14ac:dyDescent="0.2">
      <c r="A233" s="7"/>
      <c r="H233" s="3"/>
      <c r="I233" s="3"/>
      <c r="J233" s="3"/>
      <c r="K233" s="3"/>
      <c r="L233" s="3"/>
    </row>
    <row r="234" spans="1:12" x14ac:dyDescent="0.2">
      <c r="A234" s="7"/>
      <c r="H234" s="3"/>
      <c r="I234" s="3"/>
      <c r="J234" s="3"/>
      <c r="K234" s="3"/>
      <c r="L234" s="3"/>
    </row>
    <row r="235" spans="1:12" x14ac:dyDescent="0.2">
      <c r="A235" s="7"/>
      <c r="H235" s="3"/>
      <c r="I235" s="3"/>
      <c r="J235" s="3"/>
      <c r="K235" s="3"/>
      <c r="L235" s="3"/>
    </row>
    <row r="236" spans="1:12" x14ac:dyDescent="0.2">
      <c r="A236" s="7"/>
      <c r="H236" s="3"/>
      <c r="I236" s="3"/>
      <c r="J236" s="3"/>
      <c r="K236" s="3"/>
      <c r="L236" s="3"/>
    </row>
    <row r="237" spans="1:12" x14ac:dyDescent="0.2">
      <c r="A237" s="7"/>
      <c r="H237" s="3"/>
      <c r="I237" s="3"/>
      <c r="J237" s="3"/>
      <c r="K237" s="3"/>
      <c r="L237" s="3"/>
    </row>
    <row r="238" spans="1:12" x14ac:dyDescent="0.2">
      <c r="A238" s="7"/>
      <c r="H238" s="3"/>
      <c r="I238" s="3"/>
      <c r="J238" s="3"/>
      <c r="K238" s="3"/>
      <c r="L238" s="3"/>
    </row>
    <row r="239" spans="1:12" x14ac:dyDescent="0.2">
      <c r="A239" s="7"/>
      <c r="H239" s="3"/>
      <c r="I239" s="3"/>
      <c r="J239" s="3"/>
      <c r="K239" s="3"/>
      <c r="L239" s="3"/>
    </row>
    <row r="240" spans="1:12" x14ac:dyDescent="0.2">
      <c r="A240" s="7"/>
      <c r="H240" s="3"/>
      <c r="I240" s="3"/>
      <c r="J240" s="3"/>
      <c r="K240" s="3"/>
      <c r="L240" s="3"/>
    </row>
    <row r="241" spans="1:12" x14ac:dyDescent="0.2">
      <c r="A241" s="7"/>
      <c r="H241" s="3"/>
      <c r="I241" s="3"/>
      <c r="J241" s="3"/>
      <c r="K241" s="3"/>
      <c r="L241" s="3"/>
    </row>
    <row r="242" spans="1:12" x14ac:dyDescent="0.2">
      <c r="A242" s="7"/>
      <c r="H242" s="3"/>
      <c r="I242" s="3"/>
      <c r="J242" s="3"/>
      <c r="K242" s="3"/>
      <c r="L242" s="3"/>
    </row>
    <row r="243" spans="1:12" x14ac:dyDescent="0.2">
      <c r="A243" s="7"/>
      <c r="H243" s="3"/>
      <c r="I243" s="3"/>
      <c r="J243" s="3"/>
      <c r="K243" s="3"/>
      <c r="L243" s="3"/>
    </row>
    <row r="244" spans="1:12" x14ac:dyDescent="0.2">
      <c r="A244" s="7"/>
      <c r="H244" s="3"/>
      <c r="I244" s="3"/>
      <c r="J244" s="3"/>
      <c r="K244" s="3"/>
      <c r="L244" s="3"/>
    </row>
    <row r="245" spans="1:12" x14ac:dyDescent="0.2">
      <c r="A245" s="7"/>
      <c r="H245" s="3"/>
      <c r="I245" s="3"/>
      <c r="J245" s="3"/>
      <c r="K245" s="3"/>
      <c r="L245" s="3"/>
    </row>
    <row r="246" spans="1:12" x14ac:dyDescent="0.2">
      <c r="A246" s="7"/>
      <c r="H246" s="3"/>
      <c r="I246" s="3"/>
      <c r="J246" s="3"/>
      <c r="K246" s="3"/>
      <c r="L246" s="3"/>
    </row>
    <row r="247" spans="1:12" x14ac:dyDescent="0.2">
      <c r="A247" s="7"/>
      <c r="H247" s="3"/>
      <c r="I247" s="3"/>
      <c r="J247" s="3"/>
      <c r="K247" s="3"/>
      <c r="L247" s="3"/>
    </row>
    <row r="248" spans="1:12" x14ac:dyDescent="0.2">
      <c r="A248" s="7"/>
      <c r="H248" s="3"/>
      <c r="I248" s="3"/>
      <c r="J248" s="3"/>
      <c r="K248" s="3"/>
      <c r="L248" s="3"/>
    </row>
    <row r="249" spans="1:12" x14ac:dyDescent="0.2">
      <c r="A249" s="7"/>
      <c r="H249" s="3"/>
      <c r="I249" s="3"/>
      <c r="J249" s="3"/>
      <c r="K249" s="3"/>
      <c r="L249" s="3"/>
    </row>
    <row r="250" spans="1:12" x14ac:dyDescent="0.2">
      <c r="A250" s="7"/>
      <c r="H250" s="3"/>
      <c r="I250" s="3"/>
      <c r="J250" s="3"/>
      <c r="K250" s="3"/>
      <c r="L250" s="3"/>
    </row>
    <row r="251" spans="1:12" x14ac:dyDescent="0.2">
      <c r="A251" s="7"/>
      <c r="H251" s="3"/>
      <c r="I251" s="3"/>
      <c r="J251" s="3"/>
      <c r="K251" s="3"/>
      <c r="L251" s="3"/>
    </row>
    <row r="252" spans="1:12" x14ac:dyDescent="0.2">
      <c r="A252" s="7"/>
      <c r="H252" s="3"/>
      <c r="I252" s="3"/>
      <c r="J252" s="3"/>
      <c r="K252" s="3"/>
      <c r="L252" s="3"/>
    </row>
    <row r="253" spans="1:12" x14ac:dyDescent="0.2">
      <c r="A253" s="7"/>
      <c r="H253" s="3"/>
      <c r="I253" s="3"/>
      <c r="J253" s="3"/>
      <c r="K253" s="3"/>
      <c r="L253" s="3"/>
    </row>
    <row r="254" spans="1:12" x14ac:dyDescent="0.2">
      <c r="A254" s="7"/>
      <c r="H254" s="3"/>
      <c r="I254" s="3"/>
      <c r="J254" s="3"/>
      <c r="K254" s="3"/>
      <c r="L254" s="3"/>
    </row>
    <row r="255" spans="1:12" x14ac:dyDescent="0.2">
      <c r="A255" s="7"/>
      <c r="H255" s="3"/>
      <c r="I255" s="3"/>
      <c r="J255" s="3"/>
      <c r="K255" s="3"/>
      <c r="L255" s="3"/>
    </row>
    <row r="256" spans="1:12" x14ac:dyDescent="0.2">
      <c r="A256" s="7"/>
      <c r="H256" s="3"/>
      <c r="I256" s="3"/>
      <c r="J256" s="3"/>
      <c r="K256" s="3"/>
      <c r="L256" s="3"/>
    </row>
    <row r="257" spans="1:12" x14ac:dyDescent="0.2">
      <c r="A257" s="7"/>
      <c r="H257" s="3"/>
      <c r="I257" s="3"/>
      <c r="J257" s="3"/>
      <c r="K257" s="3"/>
      <c r="L257" s="3"/>
    </row>
    <row r="258" spans="1:12" x14ac:dyDescent="0.2">
      <c r="A258" s="7"/>
      <c r="H258" s="3"/>
      <c r="I258" s="3"/>
      <c r="J258" s="3"/>
      <c r="K258" s="3"/>
      <c r="L258" s="3"/>
    </row>
    <row r="259" spans="1:12" x14ac:dyDescent="0.2">
      <c r="A259" s="7"/>
      <c r="H259" s="3"/>
      <c r="I259" s="3"/>
      <c r="J259" s="3"/>
      <c r="K259" s="3"/>
      <c r="L259" s="3"/>
    </row>
    <row r="260" spans="1:12" x14ac:dyDescent="0.2">
      <c r="A260" s="7"/>
      <c r="H260" s="3"/>
      <c r="I260" s="3"/>
      <c r="J260" s="3"/>
      <c r="K260" s="3"/>
      <c r="L260" s="3"/>
    </row>
    <row r="261" spans="1:12" x14ac:dyDescent="0.2">
      <c r="A261" s="7"/>
      <c r="H261" s="3"/>
      <c r="I261" s="3"/>
      <c r="J261" s="3"/>
      <c r="K261" s="3"/>
      <c r="L261" s="3"/>
    </row>
    <row r="262" spans="1:12" x14ac:dyDescent="0.2">
      <c r="A262" s="7"/>
      <c r="H262" s="3"/>
      <c r="I262" s="3"/>
      <c r="J262" s="3"/>
      <c r="K262" s="3"/>
      <c r="L262" s="3"/>
    </row>
    <row r="263" spans="1:12" x14ac:dyDescent="0.2">
      <c r="A263" s="7"/>
      <c r="H263" s="3"/>
      <c r="I263" s="3"/>
      <c r="J263" s="3"/>
      <c r="K263" s="3"/>
      <c r="L263" s="3"/>
    </row>
    <row r="264" spans="1:12" x14ac:dyDescent="0.2">
      <c r="A264" s="7"/>
      <c r="H264" s="3"/>
      <c r="I264" s="3"/>
      <c r="J264" s="3"/>
      <c r="K264" s="3"/>
      <c r="L264" s="3"/>
    </row>
    <row r="265" spans="1:12" x14ac:dyDescent="0.2">
      <c r="A265" s="7"/>
      <c r="H265" s="3"/>
      <c r="I265" s="3"/>
      <c r="J265" s="3"/>
      <c r="K265" s="3"/>
      <c r="L265" s="3"/>
    </row>
    <row r="266" spans="1:12" x14ac:dyDescent="0.2">
      <c r="A266" s="7"/>
      <c r="H266" s="3"/>
      <c r="I266" s="3"/>
      <c r="J266" s="3"/>
      <c r="K266" s="3"/>
      <c r="L266" s="3"/>
    </row>
    <row r="267" spans="1:12" x14ac:dyDescent="0.2">
      <c r="A267" s="7"/>
      <c r="H267" s="3"/>
      <c r="I267" s="3"/>
      <c r="J267" s="3"/>
      <c r="K267" s="3"/>
      <c r="L267" s="3"/>
    </row>
    <row r="268" spans="1:12" x14ac:dyDescent="0.2">
      <c r="A268" s="7"/>
      <c r="H268" s="3"/>
      <c r="I268" s="3"/>
      <c r="J268" s="3"/>
      <c r="K268" s="3"/>
      <c r="L268" s="3"/>
    </row>
    <row r="269" spans="1:12" x14ac:dyDescent="0.2">
      <c r="A269" s="7"/>
      <c r="H269" s="3"/>
      <c r="I269" s="3"/>
      <c r="J269" s="3"/>
      <c r="K269" s="3"/>
      <c r="L269" s="3"/>
    </row>
    <row r="270" spans="1:12" x14ac:dyDescent="0.2">
      <c r="A270" s="7"/>
      <c r="H270" s="3"/>
      <c r="I270" s="3"/>
      <c r="J270" s="3"/>
      <c r="K270" s="3"/>
      <c r="L270" s="3"/>
    </row>
    <row r="271" spans="1:12" x14ac:dyDescent="0.2">
      <c r="A271" s="7"/>
      <c r="H271" s="3"/>
      <c r="I271" s="3"/>
      <c r="J271" s="3"/>
      <c r="K271" s="3"/>
      <c r="L271" s="3"/>
    </row>
    <row r="272" spans="1:12" x14ac:dyDescent="0.2">
      <c r="A272" s="7"/>
      <c r="H272" s="3"/>
      <c r="I272" s="3"/>
      <c r="J272" s="3"/>
      <c r="K272" s="3"/>
      <c r="L272" s="3"/>
    </row>
    <row r="273" spans="1:12" x14ac:dyDescent="0.2">
      <c r="A273" s="7"/>
      <c r="H273" s="3"/>
      <c r="I273" s="3"/>
      <c r="J273" s="3"/>
      <c r="K273" s="3"/>
      <c r="L273" s="3"/>
    </row>
    <row r="274" spans="1:12" x14ac:dyDescent="0.2">
      <c r="A274" s="7"/>
      <c r="H274" s="3"/>
      <c r="I274" s="3"/>
      <c r="J274" s="3"/>
      <c r="K274" s="3"/>
      <c r="L274" s="3"/>
    </row>
    <row r="275" spans="1:12" x14ac:dyDescent="0.2">
      <c r="A275" s="7"/>
      <c r="H275" s="3"/>
      <c r="I275" s="3"/>
      <c r="J275" s="3"/>
      <c r="K275" s="3"/>
      <c r="L275" s="3"/>
    </row>
    <row r="276" spans="1:12" x14ac:dyDescent="0.2">
      <c r="A276" s="7"/>
      <c r="H276" s="3"/>
      <c r="I276" s="3"/>
      <c r="J276" s="3"/>
      <c r="K276" s="3"/>
      <c r="L276" s="3"/>
    </row>
    <row r="277" spans="1:12" x14ac:dyDescent="0.2">
      <c r="A277" s="7"/>
      <c r="H277" s="3"/>
      <c r="I277" s="3"/>
      <c r="J277" s="3"/>
      <c r="K277" s="3"/>
      <c r="L277" s="3"/>
    </row>
    <row r="278" spans="1:12" x14ac:dyDescent="0.2">
      <c r="A278" s="7"/>
      <c r="H278" s="3"/>
      <c r="I278" s="3"/>
      <c r="J278" s="3"/>
      <c r="K278" s="3"/>
      <c r="L278" s="3"/>
    </row>
    <row r="279" spans="1:12" x14ac:dyDescent="0.2">
      <c r="A279" s="7"/>
      <c r="H279" s="3"/>
      <c r="I279" s="3"/>
      <c r="J279" s="3"/>
      <c r="K279" s="3"/>
      <c r="L279" s="3"/>
    </row>
    <row r="280" spans="1:12" x14ac:dyDescent="0.2">
      <c r="A280" s="7"/>
      <c r="H280" s="3"/>
      <c r="I280" s="3"/>
      <c r="J280" s="3"/>
      <c r="K280" s="3"/>
      <c r="L280" s="3"/>
    </row>
    <row r="281" spans="1:12" x14ac:dyDescent="0.2">
      <c r="A281" s="7"/>
      <c r="H281" s="3"/>
      <c r="I281" s="3"/>
      <c r="J281" s="3"/>
      <c r="K281" s="3"/>
      <c r="L281" s="3"/>
    </row>
    <row r="282" spans="1:12" x14ac:dyDescent="0.2">
      <c r="A282" s="7"/>
      <c r="H282" s="3"/>
      <c r="I282" s="3"/>
      <c r="J282" s="3"/>
      <c r="K282" s="3"/>
      <c r="L282" s="3"/>
    </row>
    <row r="283" spans="1:12" x14ac:dyDescent="0.2">
      <c r="A283" s="7"/>
      <c r="H283" s="3"/>
      <c r="I283" s="3"/>
      <c r="J283" s="3"/>
      <c r="K283" s="3"/>
      <c r="L283" s="3"/>
    </row>
    <row r="284" spans="1:12" x14ac:dyDescent="0.2">
      <c r="A284" s="7"/>
      <c r="H284" s="3"/>
      <c r="I284" s="3"/>
      <c r="J284" s="3"/>
      <c r="K284" s="3"/>
      <c r="L284" s="3"/>
    </row>
    <row r="285" spans="1:12" x14ac:dyDescent="0.2">
      <c r="A285" s="7"/>
      <c r="H285" s="3"/>
      <c r="I285" s="3"/>
      <c r="J285" s="3"/>
      <c r="K285" s="3"/>
      <c r="L285" s="3"/>
    </row>
    <row r="286" spans="1:12" x14ac:dyDescent="0.2">
      <c r="A286" s="7"/>
      <c r="H286" s="3"/>
      <c r="I286" s="3"/>
      <c r="J286" s="3"/>
      <c r="K286" s="3"/>
      <c r="L286" s="3"/>
    </row>
    <row r="287" spans="1:12" x14ac:dyDescent="0.2">
      <c r="A287" s="7"/>
      <c r="H287" s="3"/>
      <c r="I287" s="3"/>
      <c r="J287" s="3"/>
      <c r="K287" s="3"/>
      <c r="L287" s="3"/>
    </row>
    <row r="288" spans="1:12" x14ac:dyDescent="0.2">
      <c r="A288" s="7"/>
      <c r="H288" s="3"/>
      <c r="I288" s="3"/>
      <c r="J288" s="3"/>
      <c r="K288" s="3"/>
      <c r="L288" s="3"/>
    </row>
    <row r="289" spans="1:12" x14ac:dyDescent="0.2">
      <c r="A289" s="7"/>
      <c r="H289" s="3"/>
      <c r="I289" s="3"/>
      <c r="J289" s="3"/>
      <c r="K289" s="3"/>
      <c r="L289" s="3"/>
    </row>
    <row r="290" spans="1:12" x14ac:dyDescent="0.2">
      <c r="A290" s="7"/>
      <c r="H290" s="3"/>
      <c r="I290" s="3"/>
      <c r="J290" s="3"/>
      <c r="K290" s="3"/>
      <c r="L290" s="3"/>
    </row>
    <row r="291" spans="1:12" x14ac:dyDescent="0.2">
      <c r="A291" s="7"/>
      <c r="H291" s="3"/>
      <c r="I291" s="3"/>
      <c r="J291" s="3"/>
      <c r="K291" s="3"/>
      <c r="L291" s="3"/>
    </row>
    <row r="292" spans="1:12" x14ac:dyDescent="0.2">
      <c r="A292" s="7"/>
      <c r="H292" s="3"/>
      <c r="I292" s="3"/>
      <c r="J292" s="3"/>
      <c r="K292" s="3"/>
      <c r="L292" s="3"/>
    </row>
    <row r="293" spans="1:12" x14ac:dyDescent="0.2">
      <c r="A293" s="7"/>
      <c r="H293" s="3"/>
      <c r="I293" s="3"/>
      <c r="J293" s="3"/>
      <c r="K293" s="3"/>
      <c r="L293" s="3"/>
    </row>
    <row r="294" spans="1:12" x14ac:dyDescent="0.2">
      <c r="A294" s="7"/>
      <c r="H294" s="3"/>
      <c r="I294" s="3"/>
      <c r="J294" s="3"/>
      <c r="K294" s="3"/>
      <c r="L294" s="3"/>
    </row>
    <row r="295" spans="1:12" x14ac:dyDescent="0.2">
      <c r="A295" s="7"/>
      <c r="H295" s="3"/>
      <c r="I295" s="3"/>
      <c r="J295" s="3"/>
      <c r="K295" s="3"/>
      <c r="L295" s="3"/>
    </row>
    <row r="296" spans="1:12" x14ac:dyDescent="0.2">
      <c r="A296" s="7"/>
      <c r="H296" s="3"/>
      <c r="I296" s="3"/>
      <c r="J296" s="3"/>
      <c r="K296" s="3"/>
      <c r="L296" s="3"/>
    </row>
    <row r="297" spans="1:12" x14ac:dyDescent="0.2">
      <c r="A297" s="7"/>
      <c r="H297" s="3"/>
      <c r="I297" s="3"/>
      <c r="J297" s="3"/>
      <c r="K297" s="3"/>
      <c r="L297" s="3"/>
    </row>
    <row r="298" spans="1:12" x14ac:dyDescent="0.2">
      <c r="A298" s="7"/>
      <c r="H298" s="3"/>
      <c r="I298" s="3"/>
      <c r="J298" s="3"/>
      <c r="K298" s="3"/>
      <c r="L298" s="3"/>
    </row>
    <row r="299" spans="1:12" x14ac:dyDescent="0.2">
      <c r="A299" s="7"/>
      <c r="H299" s="3"/>
      <c r="I299" s="3"/>
      <c r="J299" s="3"/>
      <c r="K299" s="3"/>
      <c r="L299" s="3"/>
    </row>
    <row r="300" spans="1:12" x14ac:dyDescent="0.2">
      <c r="A300" s="7"/>
      <c r="H300" s="3"/>
      <c r="I300" s="3"/>
      <c r="J300" s="3"/>
      <c r="K300" s="3"/>
      <c r="L300" s="3"/>
    </row>
    <row r="301" spans="1:12" x14ac:dyDescent="0.2">
      <c r="A301" s="7"/>
      <c r="H301" s="3"/>
      <c r="I301" s="3"/>
      <c r="J301" s="3"/>
      <c r="K301" s="3"/>
      <c r="L301" s="3"/>
    </row>
    <row r="302" spans="1:12" x14ac:dyDescent="0.2">
      <c r="A302" s="7"/>
      <c r="H302" s="3"/>
      <c r="I302" s="3"/>
      <c r="J302" s="3"/>
      <c r="K302" s="3"/>
      <c r="L302" s="3"/>
    </row>
    <row r="303" spans="1:12" x14ac:dyDescent="0.2">
      <c r="A303" s="7"/>
      <c r="H303" s="3"/>
      <c r="I303" s="3"/>
      <c r="J303" s="3"/>
      <c r="K303" s="3"/>
      <c r="L303" s="3"/>
    </row>
    <row r="304" spans="1:12" x14ac:dyDescent="0.2">
      <c r="A304" s="7"/>
      <c r="H304" s="3"/>
      <c r="I304" s="3"/>
      <c r="J304" s="3"/>
      <c r="K304" s="3"/>
      <c r="L304" s="3"/>
    </row>
    <row r="305" spans="1:12" x14ac:dyDescent="0.2">
      <c r="A305" s="7"/>
      <c r="H305" s="3"/>
      <c r="I305" s="3"/>
      <c r="J305" s="3"/>
      <c r="K305" s="3"/>
      <c r="L305" s="3"/>
    </row>
    <row r="306" spans="1:12" x14ac:dyDescent="0.2">
      <c r="A306" s="7"/>
      <c r="H306" s="3"/>
      <c r="I306" s="3"/>
      <c r="J306" s="3"/>
      <c r="K306" s="3"/>
      <c r="L306" s="3"/>
    </row>
    <row r="307" spans="1:12" x14ac:dyDescent="0.2">
      <c r="A307" s="7"/>
      <c r="H307" s="3"/>
      <c r="I307" s="3"/>
      <c r="J307" s="3"/>
      <c r="K307" s="3"/>
      <c r="L307" s="3"/>
    </row>
    <row r="308" spans="1:12" x14ac:dyDescent="0.2">
      <c r="A308" s="7"/>
      <c r="H308" s="3"/>
      <c r="I308" s="3"/>
      <c r="J308" s="3"/>
      <c r="K308" s="3"/>
      <c r="L308" s="3"/>
    </row>
    <row r="309" spans="1:12" x14ac:dyDescent="0.2">
      <c r="A309" s="7"/>
      <c r="H309" s="3"/>
      <c r="I309" s="3"/>
      <c r="J309" s="3"/>
      <c r="K309" s="3"/>
      <c r="L309" s="3"/>
    </row>
    <row r="310" spans="1:12" x14ac:dyDescent="0.2">
      <c r="A310" s="7"/>
      <c r="H310" s="3"/>
      <c r="I310" s="3"/>
      <c r="J310" s="3"/>
      <c r="K310" s="3"/>
      <c r="L310" s="3"/>
    </row>
    <row r="311" spans="1:12" x14ac:dyDescent="0.2">
      <c r="A311" s="7"/>
      <c r="H311" s="3"/>
      <c r="I311" s="3"/>
      <c r="J311" s="3"/>
      <c r="K311" s="3"/>
      <c r="L311" s="3"/>
    </row>
    <row r="312" spans="1:12" x14ac:dyDescent="0.2">
      <c r="A312" s="7"/>
      <c r="H312" s="3"/>
      <c r="I312" s="3"/>
      <c r="J312" s="3"/>
      <c r="K312" s="3"/>
      <c r="L312" s="3"/>
    </row>
    <row r="313" spans="1:12" x14ac:dyDescent="0.2">
      <c r="A313" s="7"/>
      <c r="H313" s="3"/>
      <c r="I313" s="3"/>
      <c r="J313" s="3"/>
      <c r="K313" s="3"/>
      <c r="L313" s="3"/>
    </row>
    <row r="314" spans="1:12" x14ac:dyDescent="0.2">
      <c r="A314" s="7"/>
      <c r="H314" s="3"/>
      <c r="I314" s="3"/>
      <c r="J314" s="3"/>
      <c r="K314" s="3"/>
      <c r="L314" s="3"/>
    </row>
    <row r="315" spans="1:12" x14ac:dyDescent="0.2">
      <c r="A315" s="7"/>
      <c r="H315" s="3"/>
      <c r="I315" s="3"/>
      <c r="J315" s="3"/>
      <c r="K315" s="3"/>
      <c r="L315" s="3"/>
    </row>
    <row r="316" spans="1:12" x14ac:dyDescent="0.2">
      <c r="A316" s="7"/>
      <c r="H316" s="3"/>
      <c r="I316" s="3"/>
      <c r="J316" s="3"/>
      <c r="K316" s="3"/>
      <c r="L316" s="3"/>
    </row>
    <row r="317" spans="1:12" x14ac:dyDescent="0.2">
      <c r="A317" s="7"/>
      <c r="H317" s="3"/>
      <c r="I317" s="3"/>
      <c r="J317" s="3"/>
      <c r="K317" s="3"/>
      <c r="L317" s="3"/>
    </row>
    <row r="318" spans="1:12" x14ac:dyDescent="0.2">
      <c r="A318" s="7"/>
      <c r="H318" s="3"/>
      <c r="I318" s="3"/>
      <c r="J318" s="3"/>
      <c r="K318" s="3"/>
      <c r="L318" s="3"/>
    </row>
    <row r="319" spans="1:12" x14ac:dyDescent="0.2">
      <c r="A319" s="7"/>
      <c r="H319" s="3"/>
      <c r="I319" s="3"/>
      <c r="J319" s="3"/>
      <c r="K319" s="3"/>
      <c r="L319" s="3"/>
    </row>
    <row r="320" spans="1:12" x14ac:dyDescent="0.2">
      <c r="A320" s="7"/>
      <c r="H320" s="3"/>
      <c r="I320" s="3"/>
      <c r="J320" s="3"/>
      <c r="K320" s="3"/>
      <c r="L320" s="3"/>
    </row>
    <row r="321" spans="1:12" x14ac:dyDescent="0.2">
      <c r="A321" s="7"/>
      <c r="H321" s="3"/>
      <c r="I321" s="3"/>
      <c r="J321" s="3"/>
      <c r="K321" s="3"/>
      <c r="L321" s="3"/>
    </row>
    <row r="322" spans="1:12" x14ac:dyDescent="0.2">
      <c r="A322" s="7"/>
      <c r="H322" s="3"/>
      <c r="I322" s="3"/>
      <c r="J322" s="3"/>
      <c r="K322" s="3"/>
      <c r="L322" s="3"/>
    </row>
    <row r="323" spans="1:12" x14ac:dyDescent="0.2">
      <c r="A323" s="7"/>
      <c r="H323" s="3"/>
      <c r="I323" s="3"/>
      <c r="J323" s="3"/>
      <c r="K323" s="3"/>
      <c r="L323" s="3"/>
    </row>
    <row r="324" spans="1:12" x14ac:dyDescent="0.2">
      <c r="A324" s="7"/>
      <c r="H324" s="3"/>
      <c r="I324" s="3"/>
      <c r="J324" s="3"/>
      <c r="K324" s="3"/>
      <c r="L324" s="3"/>
    </row>
    <row r="325" spans="1:12" x14ac:dyDescent="0.2">
      <c r="A325" s="7"/>
      <c r="H325" s="3"/>
      <c r="I325" s="3"/>
      <c r="J325" s="3"/>
      <c r="K325" s="3"/>
      <c r="L325" s="3"/>
    </row>
    <row r="326" spans="1:12" x14ac:dyDescent="0.2">
      <c r="A326" s="7"/>
      <c r="H326" s="3"/>
      <c r="I326" s="3"/>
      <c r="J326" s="3"/>
      <c r="K326" s="3"/>
      <c r="L326" s="3"/>
    </row>
    <row r="327" spans="1:12" x14ac:dyDescent="0.2">
      <c r="A327" s="7"/>
      <c r="H327" s="3"/>
      <c r="I327" s="3"/>
      <c r="J327" s="3"/>
      <c r="K327" s="3"/>
      <c r="L327" s="3"/>
    </row>
    <row r="328" spans="1:12" x14ac:dyDescent="0.2">
      <c r="A328" s="7"/>
      <c r="H328" s="3"/>
      <c r="I328" s="3"/>
      <c r="J328" s="3"/>
      <c r="K328" s="3"/>
      <c r="L328" s="3"/>
    </row>
    <row r="329" spans="1:12" x14ac:dyDescent="0.2">
      <c r="A329" s="7"/>
      <c r="H329" s="3"/>
      <c r="I329" s="3"/>
      <c r="J329" s="3"/>
      <c r="K329" s="3"/>
      <c r="L329" s="3"/>
    </row>
    <row r="330" spans="1:12" x14ac:dyDescent="0.2">
      <c r="A330" s="7"/>
      <c r="H330" s="3"/>
      <c r="I330" s="3"/>
      <c r="J330" s="3"/>
      <c r="K330" s="3"/>
      <c r="L330" s="3"/>
    </row>
    <row r="331" spans="1:12" x14ac:dyDescent="0.2">
      <c r="A331" s="7"/>
      <c r="H331" s="3"/>
      <c r="I331" s="3"/>
      <c r="J331" s="3"/>
      <c r="K331" s="3"/>
      <c r="L331" s="3"/>
    </row>
    <row r="332" spans="1:12" x14ac:dyDescent="0.2">
      <c r="A332" s="7"/>
      <c r="H332" s="3"/>
      <c r="I332" s="3"/>
      <c r="J332" s="3"/>
      <c r="K332" s="3"/>
      <c r="L332" s="3"/>
    </row>
    <row r="333" spans="1:12" x14ac:dyDescent="0.2">
      <c r="A333" s="7"/>
      <c r="H333" s="3"/>
      <c r="I333" s="3"/>
      <c r="J333" s="3"/>
      <c r="K333" s="3"/>
      <c r="L333" s="3"/>
    </row>
    <row r="334" spans="1:12" x14ac:dyDescent="0.2">
      <c r="A334" s="7"/>
      <c r="H334" s="3"/>
      <c r="I334" s="3"/>
      <c r="J334" s="3"/>
      <c r="K334" s="3"/>
      <c r="L334" s="3"/>
    </row>
    <row r="335" spans="1:12" x14ac:dyDescent="0.2">
      <c r="A335" s="7"/>
      <c r="H335" s="3"/>
      <c r="I335" s="3"/>
      <c r="J335" s="3"/>
      <c r="K335" s="3"/>
      <c r="L335" s="3"/>
    </row>
    <row r="336" spans="1:12" x14ac:dyDescent="0.2">
      <c r="A336" s="7"/>
      <c r="H336" s="3"/>
      <c r="I336" s="3"/>
      <c r="J336" s="3"/>
      <c r="K336" s="3"/>
      <c r="L336" s="3"/>
    </row>
    <row r="337" spans="1:12" x14ac:dyDescent="0.2">
      <c r="A337" s="7"/>
      <c r="H337" s="3"/>
      <c r="I337" s="3"/>
      <c r="J337" s="3"/>
      <c r="K337" s="3"/>
      <c r="L337" s="3"/>
    </row>
    <row r="338" spans="1:12" x14ac:dyDescent="0.2">
      <c r="A338" s="7"/>
      <c r="H338" s="3"/>
      <c r="I338" s="3"/>
      <c r="J338" s="3"/>
      <c r="K338" s="3"/>
      <c r="L338" s="3"/>
    </row>
    <row r="339" spans="1:12" x14ac:dyDescent="0.2">
      <c r="A339" s="7"/>
      <c r="H339" s="3"/>
      <c r="I339" s="3"/>
      <c r="J339" s="3"/>
      <c r="K339" s="3"/>
      <c r="L339" s="3"/>
    </row>
    <row r="340" spans="1:12" x14ac:dyDescent="0.2">
      <c r="A340" s="7"/>
      <c r="H340" s="3"/>
      <c r="I340" s="3"/>
      <c r="J340" s="3"/>
      <c r="K340" s="3"/>
      <c r="L340" s="3"/>
    </row>
    <row r="341" spans="1:12" x14ac:dyDescent="0.2">
      <c r="A341" s="7"/>
      <c r="H341" s="3"/>
      <c r="I341" s="3"/>
      <c r="J341" s="3"/>
      <c r="K341" s="3"/>
      <c r="L341" s="3"/>
    </row>
    <row r="342" spans="1:12" x14ac:dyDescent="0.2">
      <c r="A342" s="7"/>
      <c r="H342" s="3"/>
      <c r="I342" s="3"/>
      <c r="J342" s="3"/>
      <c r="K342" s="3"/>
      <c r="L342" s="3"/>
    </row>
    <row r="343" spans="1:12" x14ac:dyDescent="0.2">
      <c r="A343" s="7"/>
      <c r="H343" s="3"/>
      <c r="I343" s="3"/>
      <c r="J343" s="3"/>
      <c r="K343" s="3"/>
      <c r="L343" s="3"/>
    </row>
    <row r="344" spans="1:12" x14ac:dyDescent="0.2">
      <c r="A344" s="7"/>
      <c r="H344" s="3"/>
      <c r="I344" s="3"/>
      <c r="J344" s="3"/>
      <c r="K344" s="3"/>
      <c r="L344" s="3"/>
    </row>
    <row r="345" spans="1:12" x14ac:dyDescent="0.2">
      <c r="A345" s="7"/>
      <c r="H345" s="3"/>
      <c r="I345" s="3"/>
      <c r="J345" s="3"/>
      <c r="K345" s="3"/>
      <c r="L345" s="3"/>
    </row>
    <row r="346" spans="1:12" x14ac:dyDescent="0.2">
      <c r="A346" s="7"/>
      <c r="H346" s="3"/>
      <c r="I346" s="3"/>
      <c r="J346" s="3"/>
      <c r="K346" s="3"/>
      <c r="L346" s="3"/>
    </row>
    <row r="347" spans="1:12" x14ac:dyDescent="0.2">
      <c r="A347" s="7"/>
      <c r="H347" s="3"/>
      <c r="I347" s="3"/>
      <c r="J347" s="3"/>
      <c r="K347" s="3"/>
      <c r="L347" s="3"/>
    </row>
    <row r="348" spans="1:12" x14ac:dyDescent="0.2">
      <c r="A348" s="7"/>
      <c r="H348" s="3"/>
      <c r="I348" s="3"/>
      <c r="J348" s="3"/>
      <c r="K348" s="3"/>
      <c r="L348" s="3"/>
    </row>
    <row r="349" spans="1:12" x14ac:dyDescent="0.2">
      <c r="A349" s="7"/>
      <c r="H349" s="3"/>
      <c r="I349" s="3"/>
      <c r="J349" s="3"/>
      <c r="K349" s="3"/>
      <c r="L349" s="3"/>
    </row>
    <row r="350" spans="1:12" x14ac:dyDescent="0.2">
      <c r="A350" s="7"/>
      <c r="H350" s="3"/>
      <c r="I350" s="3"/>
      <c r="J350" s="3"/>
      <c r="K350" s="3"/>
      <c r="L350" s="3"/>
    </row>
    <row r="351" spans="1:12" x14ac:dyDescent="0.2">
      <c r="A351" s="7"/>
      <c r="H351" s="3"/>
      <c r="I351" s="3"/>
      <c r="J351" s="3"/>
      <c r="K351" s="3"/>
      <c r="L351" s="3"/>
    </row>
    <row r="352" spans="1:12" x14ac:dyDescent="0.2">
      <c r="A352" s="7"/>
      <c r="H352" s="3"/>
      <c r="I352" s="3"/>
      <c r="J352" s="3"/>
      <c r="K352" s="3"/>
      <c r="L352" s="3"/>
    </row>
    <row r="353" spans="1:12" x14ac:dyDescent="0.2">
      <c r="A353" s="7"/>
      <c r="H353" s="3"/>
      <c r="I353" s="3"/>
      <c r="J353" s="3"/>
      <c r="K353" s="3"/>
      <c r="L353" s="3"/>
    </row>
    <row r="354" spans="1:12" x14ac:dyDescent="0.2">
      <c r="A354" s="7"/>
      <c r="H354" s="3"/>
      <c r="I354" s="3"/>
      <c r="J354" s="3"/>
      <c r="K354" s="3"/>
      <c r="L354" s="3"/>
    </row>
    <row r="355" spans="1:12" x14ac:dyDescent="0.2">
      <c r="A355" s="7"/>
      <c r="H355" s="3"/>
      <c r="I355" s="3"/>
      <c r="J355" s="3"/>
      <c r="K355" s="3"/>
      <c r="L355" s="3"/>
    </row>
    <row r="356" spans="1:12" x14ac:dyDescent="0.2">
      <c r="A356" s="7"/>
      <c r="H356" s="3"/>
      <c r="I356" s="3"/>
      <c r="J356" s="3"/>
      <c r="K356" s="3"/>
      <c r="L356" s="3"/>
    </row>
    <row r="357" spans="1:12" x14ac:dyDescent="0.2">
      <c r="A357" s="7"/>
      <c r="H357" s="3"/>
      <c r="I357" s="3"/>
      <c r="J357" s="3"/>
      <c r="K357" s="3"/>
      <c r="L357" s="3"/>
    </row>
    <row r="358" spans="1:12" x14ac:dyDescent="0.2">
      <c r="A358" s="7"/>
      <c r="H358" s="3"/>
      <c r="I358" s="3"/>
      <c r="J358" s="3"/>
      <c r="K358" s="3"/>
      <c r="L358" s="3"/>
    </row>
    <row r="359" spans="1:12" x14ac:dyDescent="0.2">
      <c r="A359" s="7"/>
      <c r="H359" s="3"/>
      <c r="I359" s="3"/>
      <c r="J359" s="3"/>
      <c r="K359" s="3"/>
      <c r="L359" s="3"/>
    </row>
    <row r="360" spans="1:12" x14ac:dyDescent="0.2">
      <c r="A360" s="7"/>
      <c r="H360" s="3"/>
      <c r="I360" s="3"/>
      <c r="J360" s="3"/>
      <c r="K360" s="3"/>
      <c r="L360" s="3"/>
    </row>
    <row r="361" spans="1:12" x14ac:dyDescent="0.2">
      <c r="A361" s="7"/>
      <c r="H361" s="3"/>
      <c r="I361" s="3"/>
      <c r="J361" s="3"/>
      <c r="K361" s="3"/>
      <c r="L361" s="3"/>
    </row>
    <row r="362" spans="1:12" x14ac:dyDescent="0.2">
      <c r="A362" s="7"/>
      <c r="H362" s="3"/>
      <c r="I362" s="3"/>
      <c r="J362" s="3"/>
      <c r="K362" s="3"/>
      <c r="L362" s="3"/>
    </row>
    <row r="363" spans="1:12" x14ac:dyDescent="0.2">
      <c r="A363" s="7"/>
      <c r="H363" s="3"/>
      <c r="I363" s="3"/>
      <c r="J363" s="3"/>
      <c r="K363" s="3"/>
      <c r="L363" s="3"/>
    </row>
    <row r="364" spans="1:12" x14ac:dyDescent="0.2">
      <c r="A364" s="7"/>
      <c r="H364" s="3"/>
      <c r="I364" s="3"/>
      <c r="J364" s="3"/>
      <c r="K364" s="3"/>
      <c r="L364" s="3"/>
    </row>
    <row r="365" spans="1:12" x14ac:dyDescent="0.2">
      <c r="A365" s="7"/>
      <c r="H365" s="3"/>
      <c r="I365" s="3"/>
      <c r="J365" s="3"/>
      <c r="K365" s="3"/>
      <c r="L365" s="3"/>
    </row>
    <row r="366" spans="1:12" x14ac:dyDescent="0.2">
      <c r="A366" s="7"/>
      <c r="H366" s="3"/>
      <c r="I366" s="3"/>
      <c r="J366" s="3"/>
      <c r="K366" s="3"/>
      <c r="L366" s="3"/>
    </row>
    <row r="367" spans="1:12" x14ac:dyDescent="0.2">
      <c r="A367" s="7"/>
      <c r="H367" s="3"/>
      <c r="I367" s="3"/>
      <c r="J367" s="3"/>
      <c r="K367" s="3"/>
      <c r="L367" s="3"/>
    </row>
    <row r="368" spans="1:12" x14ac:dyDescent="0.2">
      <c r="A368" s="7"/>
      <c r="H368" s="3"/>
      <c r="I368" s="3"/>
      <c r="J368" s="3"/>
      <c r="K368" s="3"/>
      <c r="L368" s="3"/>
    </row>
    <row r="369" spans="1:12" x14ac:dyDescent="0.2">
      <c r="A369" s="7"/>
      <c r="H369" s="3"/>
      <c r="I369" s="3"/>
      <c r="J369" s="3"/>
      <c r="K369" s="3"/>
      <c r="L369" s="3"/>
    </row>
    <row r="370" spans="1:12" x14ac:dyDescent="0.2">
      <c r="A370" s="7"/>
      <c r="H370" s="3"/>
      <c r="I370" s="3"/>
      <c r="J370" s="3"/>
      <c r="K370" s="3"/>
      <c r="L370" s="3"/>
    </row>
    <row r="371" spans="1:12" x14ac:dyDescent="0.2">
      <c r="A371" s="7"/>
      <c r="H371" s="3"/>
      <c r="I371" s="3"/>
      <c r="J371" s="3"/>
      <c r="K371" s="3"/>
      <c r="L371" s="3"/>
    </row>
    <row r="372" spans="1:12" x14ac:dyDescent="0.2">
      <c r="A372" s="7"/>
      <c r="H372" s="3"/>
      <c r="I372" s="3"/>
      <c r="J372" s="3"/>
      <c r="K372" s="3"/>
      <c r="L372" s="3"/>
    </row>
    <row r="373" spans="1:12" x14ac:dyDescent="0.2">
      <c r="A373" s="7"/>
      <c r="H373" s="3"/>
      <c r="I373" s="3"/>
      <c r="J373" s="3"/>
      <c r="K373" s="3"/>
      <c r="L373" s="3"/>
    </row>
    <row r="374" spans="1:12" x14ac:dyDescent="0.2">
      <c r="A374" s="7"/>
      <c r="H374" s="3"/>
      <c r="I374" s="3"/>
      <c r="J374" s="3"/>
      <c r="K374" s="3"/>
      <c r="L374" s="3"/>
    </row>
    <row r="375" spans="1:12" x14ac:dyDescent="0.2">
      <c r="A375" s="7"/>
      <c r="H375" s="3"/>
      <c r="I375" s="3"/>
      <c r="J375" s="3"/>
      <c r="K375" s="3"/>
      <c r="L375" s="3"/>
    </row>
    <row r="376" spans="1:12" x14ac:dyDescent="0.2">
      <c r="A376" s="7"/>
      <c r="H376" s="3"/>
      <c r="I376" s="3"/>
      <c r="J376" s="3"/>
      <c r="K376" s="3"/>
      <c r="L376" s="3"/>
    </row>
    <row r="377" spans="1:12" x14ac:dyDescent="0.2">
      <c r="A377" s="7"/>
      <c r="H377" s="3"/>
      <c r="I377" s="3"/>
      <c r="J377" s="3"/>
      <c r="K377" s="3"/>
      <c r="L377" s="3"/>
    </row>
    <row r="378" spans="1:12" x14ac:dyDescent="0.2">
      <c r="A378" s="7"/>
      <c r="H378" s="3"/>
      <c r="I378" s="3"/>
      <c r="J378" s="3"/>
      <c r="K378" s="3"/>
      <c r="L378" s="3"/>
    </row>
    <row r="379" spans="1:12" x14ac:dyDescent="0.2">
      <c r="A379" s="7"/>
      <c r="H379" s="3"/>
      <c r="I379" s="3"/>
      <c r="J379" s="3"/>
      <c r="K379" s="3"/>
      <c r="L379" s="3"/>
    </row>
    <row r="380" spans="1:12" x14ac:dyDescent="0.2">
      <c r="A380" s="7"/>
      <c r="H380" s="3"/>
      <c r="I380" s="3"/>
      <c r="J380" s="3"/>
      <c r="K380" s="3"/>
      <c r="L380" s="3"/>
    </row>
    <row r="381" spans="1:12" x14ac:dyDescent="0.2">
      <c r="A381" s="7"/>
      <c r="H381" s="3"/>
      <c r="I381" s="3"/>
      <c r="J381" s="3"/>
      <c r="K381" s="3"/>
      <c r="L381" s="3"/>
    </row>
    <row r="382" spans="1:12" x14ac:dyDescent="0.2">
      <c r="A382" s="7"/>
      <c r="H382" s="3"/>
      <c r="I382" s="3"/>
      <c r="J382" s="3"/>
      <c r="K382" s="3"/>
      <c r="L382" s="3"/>
    </row>
    <row r="383" spans="1:12" x14ac:dyDescent="0.2">
      <c r="A383" s="7"/>
      <c r="H383" s="3"/>
      <c r="I383" s="3"/>
      <c r="J383" s="3"/>
      <c r="K383" s="3"/>
      <c r="L383" s="3"/>
    </row>
    <row r="384" spans="1:12" x14ac:dyDescent="0.2">
      <c r="A384" s="7"/>
      <c r="H384" s="3"/>
      <c r="I384" s="3"/>
      <c r="J384" s="3"/>
      <c r="K384" s="3"/>
      <c r="L384" s="3"/>
    </row>
    <row r="385" spans="1:12" x14ac:dyDescent="0.2">
      <c r="A385" s="7"/>
      <c r="H385" s="3"/>
      <c r="I385" s="3"/>
      <c r="J385" s="3"/>
      <c r="K385" s="3"/>
      <c r="L385" s="3"/>
    </row>
    <row r="386" spans="1:12" x14ac:dyDescent="0.2">
      <c r="A386" s="7"/>
      <c r="H386" s="3"/>
      <c r="I386" s="3"/>
      <c r="J386" s="3"/>
      <c r="K386" s="3"/>
      <c r="L386" s="3"/>
    </row>
    <row r="387" spans="1:12" x14ac:dyDescent="0.2">
      <c r="A387" s="7"/>
      <c r="H387" s="3"/>
      <c r="I387" s="3"/>
      <c r="J387" s="3"/>
      <c r="K387" s="3"/>
      <c r="L387" s="3"/>
    </row>
    <row r="388" spans="1:12" x14ac:dyDescent="0.2">
      <c r="A388" s="7"/>
      <c r="H388" s="3"/>
      <c r="I388" s="3"/>
      <c r="J388" s="3"/>
      <c r="K388" s="3"/>
      <c r="L388" s="3"/>
    </row>
    <row r="389" spans="1:12" x14ac:dyDescent="0.2">
      <c r="A389" s="7"/>
      <c r="H389" s="3"/>
      <c r="I389" s="3"/>
      <c r="J389" s="3"/>
      <c r="K389" s="3"/>
      <c r="L389" s="3"/>
    </row>
    <row r="390" spans="1:12" x14ac:dyDescent="0.2">
      <c r="A390" s="7"/>
      <c r="H390" s="3"/>
      <c r="I390" s="3"/>
      <c r="J390" s="3"/>
      <c r="K390" s="3"/>
      <c r="L390" s="3"/>
    </row>
    <row r="391" spans="1:12" x14ac:dyDescent="0.2">
      <c r="A391" s="7"/>
      <c r="H391" s="3"/>
      <c r="I391" s="3"/>
      <c r="J391" s="3"/>
      <c r="K391" s="3"/>
      <c r="L391" s="3"/>
    </row>
    <row r="392" spans="1:12" x14ac:dyDescent="0.2">
      <c r="A392" s="7"/>
      <c r="H392" s="3"/>
      <c r="I392" s="3"/>
      <c r="J392" s="3"/>
      <c r="K392" s="3"/>
      <c r="L392" s="3"/>
    </row>
    <row r="393" spans="1:12" x14ac:dyDescent="0.2">
      <c r="A393" s="7"/>
      <c r="H393" s="3"/>
      <c r="I393" s="3"/>
      <c r="J393" s="3"/>
      <c r="K393" s="3"/>
      <c r="L393" s="3"/>
    </row>
    <row r="394" spans="1:12" x14ac:dyDescent="0.2">
      <c r="A394" s="7"/>
      <c r="H394" s="3"/>
      <c r="I394" s="3"/>
      <c r="J394" s="3"/>
      <c r="K394" s="3"/>
      <c r="L394" s="3"/>
    </row>
    <row r="395" spans="1:12" x14ac:dyDescent="0.2">
      <c r="A395" s="7"/>
      <c r="H395" s="3"/>
      <c r="I395" s="3"/>
      <c r="J395" s="3"/>
      <c r="K395" s="3"/>
      <c r="L395" s="3"/>
    </row>
    <row r="396" spans="1:12" x14ac:dyDescent="0.2">
      <c r="A396" s="7"/>
      <c r="H396" s="3"/>
      <c r="I396" s="3"/>
      <c r="J396" s="3"/>
      <c r="K396" s="3"/>
      <c r="L396" s="3"/>
    </row>
    <row r="397" spans="1:12" x14ac:dyDescent="0.2">
      <c r="A397" s="7"/>
      <c r="H397" s="3"/>
      <c r="I397" s="3"/>
      <c r="J397" s="3"/>
      <c r="K397" s="3"/>
      <c r="L397" s="3"/>
    </row>
    <row r="398" spans="1:12" x14ac:dyDescent="0.2">
      <c r="A398" s="7"/>
      <c r="H398" s="3"/>
      <c r="I398" s="3"/>
      <c r="J398" s="3"/>
      <c r="K398" s="3"/>
      <c r="L398" s="3"/>
    </row>
    <row r="399" spans="1:12" x14ac:dyDescent="0.2">
      <c r="A399" s="7"/>
      <c r="H399" s="3"/>
      <c r="I399" s="3"/>
      <c r="J399" s="3"/>
      <c r="K399" s="3"/>
      <c r="L399" s="3"/>
    </row>
    <row r="400" spans="1:12" x14ac:dyDescent="0.2">
      <c r="A400" s="7"/>
      <c r="H400" s="3"/>
      <c r="I400" s="3"/>
      <c r="J400" s="3"/>
      <c r="K400" s="3"/>
      <c r="L400" s="3"/>
    </row>
    <row r="401" spans="1:12" x14ac:dyDescent="0.2">
      <c r="A401" s="7"/>
      <c r="H401" s="3"/>
      <c r="I401" s="3"/>
      <c r="J401" s="3"/>
      <c r="K401" s="3"/>
      <c r="L401" s="3"/>
    </row>
    <row r="402" spans="1:12" x14ac:dyDescent="0.2">
      <c r="A402" s="7"/>
      <c r="H402" s="3"/>
      <c r="I402" s="3"/>
      <c r="J402" s="3"/>
      <c r="K402" s="3"/>
      <c r="L402" s="3"/>
    </row>
    <row r="403" spans="1:12" x14ac:dyDescent="0.2">
      <c r="A403" s="7"/>
      <c r="H403" s="3"/>
      <c r="I403" s="3"/>
      <c r="J403" s="3"/>
      <c r="K403" s="3"/>
      <c r="L403" s="3"/>
    </row>
    <row r="404" spans="1:12" x14ac:dyDescent="0.2">
      <c r="A404" s="7"/>
      <c r="H404" s="3"/>
      <c r="I404" s="3"/>
      <c r="J404" s="3"/>
      <c r="K404" s="3"/>
      <c r="L404" s="3"/>
    </row>
    <row r="405" spans="1:12" x14ac:dyDescent="0.2">
      <c r="A405" s="7"/>
      <c r="H405" s="3"/>
      <c r="I405" s="3"/>
      <c r="J405" s="3"/>
      <c r="K405" s="3"/>
      <c r="L405" s="3"/>
    </row>
    <row r="406" spans="1:12" x14ac:dyDescent="0.2">
      <c r="A406" s="7"/>
      <c r="H406" s="3"/>
      <c r="I406" s="3"/>
      <c r="J406" s="3"/>
      <c r="K406" s="3"/>
      <c r="L406" s="3"/>
    </row>
    <row r="407" spans="1:12" x14ac:dyDescent="0.2">
      <c r="A407" s="7"/>
      <c r="H407" s="3"/>
      <c r="I407" s="3"/>
      <c r="J407" s="3"/>
      <c r="K407" s="3"/>
      <c r="L407" s="3"/>
    </row>
    <row r="408" spans="1:12" x14ac:dyDescent="0.2">
      <c r="A408" s="7"/>
      <c r="H408" s="3"/>
      <c r="I408" s="3"/>
      <c r="J408" s="3"/>
      <c r="K408" s="3"/>
      <c r="L408" s="3"/>
    </row>
    <row r="409" spans="1:12" x14ac:dyDescent="0.2">
      <c r="A409" s="7"/>
      <c r="H409" s="3"/>
      <c r="I409" s="3"/>
      <c r="J409" s="3"/>
      <c r="K409" s="3"/>
      <c r="L409" s="3"/>
    </row>
    <row r="410" spans="1:12" x14ac:dyDescent="0.2">
      <c r="A410" s="7"/>
      <c r="H410" s="3"/>
      <c r="I410" s="3"/>
      <c r="J410" s="3"/>
      <c r="K410" s="3"/>
      <c r="L410" s="3"/>
    </row>
    <row r="411" spans="1:12" x14ac:dyDescent="0.2">
      <c r="A411" s="7"/>
      <c r="H411" s="3"/>
      <c r="I411" s="3"/>
      <c r="J411" s="3"/>
      <c r="K411" s="3"/>
      <c r="L411" s="3"/>
    </row>
    <row r="412" spans="1:12" x14ac:dyDescent="0.2">
      <c r="A412" s="7"/>
      <c r="H412" s="3"/>
      <c r="I412" s="3"/>
      <c r="J412" s="3"/>
      <c r="K412" s="3"/>
      <c r="L412" s="3"/>
    </row>
    <row r="413" spans="1:12" x14ac:dyDescent="0.2">
      <c r="A413" s="7"/>
      <c r="H413" s="3"/>
      <c r="I413" s="3"/>
      <c r="J413" s="3"/>
      <c r="K413" s="3"/>
      <c r="L413" s="3"/>
    </row>
    <row r="414" spans="1:12" x14ac:dyDescent="0.2">
      <c r="A414" s="7"/>
      <c r="H414" s="3"/>
      <c r="I414" s="3"/>
      <c r="J414" s="3"/>
      <c r="K414" s="3"/>
      <c r="L414" s="3"/>
    </row>
    <row r="415" spans="1:12" x14ac:dyDescent="0.2">
      <c r="A415" s="7"/>
      <c r="H415" s="3"/>
      <c r="I415" s="3"/>
      <c r="J415" s="3"/>
      <c r="K415" s="3"/>
      <c r="L415" s="3"/>
    </row>
    <row r="416" spans="1:12" x14ac:dyDescent="0.2">
      <c r="A416" s="7"/>
      <c r="H416" s="3"/>
      <c r="I416" s="3"/>
      <c r="J416" s="3"/>
      <c r="K416" s="3"/>
      <c r="L416" s="3"/>
    </row>
    <row r="417" spans="1:12" x14ac:dyDescent="0.2">
      <c r="A417" s="7"/>
      <c r="H417" s="3"/>
      <c r="I417" s="3"/>
      <c r="J417" s="3"/>
      <c r="K417" s="3"/>
      <c r="L417" s="3"/>
    </row>
    <row r="418" spans="1:12" x14ac:dyDescent="0.2">
      <c r="A418" s="7"/>
      <c r="H418" s="3"/>
      <c r="I418" s="3"/>
      <c r="J418" s="3"/>
      <c r="K418" s="3"/>
      <c r="L418" s="3"/>
    </row>
    <row r="419" spans="1:12" x14ac:dyDescent="0.2">
      <c r="A419" s="7"/>
      <c r="H419" s="3"/>
      <c r="I419" s="3"/>
      <c r="J419" s="3"/>
      <c r="K419" s="3"/>
      <c r="L419" s="3"/>
    </row>
    <row r="420" spans="1:12" x14ac:dyDescent="0.2">
      <c r="A420" s="7"/>
      <c r="H420" s="3"/>
      <c r="I420" s="3"/>
      <c r="J420" s="3"/>
      <c r="K420" s="3"/>
      <c r="L420" s="3"/>
    </row>
    <row r="421" spans="1:12" x14ac:dyDescent="0.2">
      <c r="A421" s="7"/>
      <c r="H421" s="3"/>
      <c r="I421" s="3"/>
      <c r="J421" s="3"/>
      <c r="K421" s="3"/>
      <c r="L421" s="3"/>
    </row>
    <row r="422" spans="1:12" x14ac:dyDescent="0.2">
      <c r="A422" s="7"/>
      <c r="H422" s="3"/>
      <c r="I422" s="3"/>
      <c r="J422" s="3"/>
      <c r="K422" s="3"/>
      <c r="L422" s="3"/>
    </row>
    <row r="423" spans="1:12" x14ac:dyDescent="0.2">
      <c r="A423" s="7"/>
      <c r="H423" s="3"/>
      <c r="I423" s="3"/>
      <c r="J423" s="3"/>
      <c r="K423" s="3"/>
      <c r="L423" s="3"/>
    </row>
    <row r="424" spans="1:12" x14ac:dyDescent="0.2">
      <c r="A424" s="7"/>
      <c r="H424" s="3"/>
      <c r="I424" s="3"/>
      <c r="J424" s="3"/>
      <c r="K424" s="3"/>
      <c r="L424" s="3"/>
    </row>
    <row r="425" spans="1:12" x14ac:dyDescent="0.2">
      <c r="A425" s="7"/>
      <c r="H425" s="3"/>
      <c r="I425" s="3"/>
      <c r="J425" s="3"/>
      <c r="K425" s="3"/>
      <c r="L425" s="3"/>
    </row>
    <row r="426" spans="1:12" x14ac:dyDescent="0.2">
      <c r="A426" s="7"/>
      <c r="H426" s="3"/>
      <c r="I426" s="3"/>
      <c r="J426" s="3"/>
      <c r="K426" s="3"/>
      <c r="L426" s="3"/>
    </row>
    <row r="427" spans="1:12" x14ac:dyDescent="0.2">
      <c r="A427" s="7"/>
      <c r="H427" s="3"/>
      <c r="I427" s="3"/>
      <c r="J427" s="3"/>
      <c r="K427" s="3"/>
      <c r="L427" s="3"/>
    </row>
    <row r="428" spans="1:12" x14ac:dyDescent="0.2">
      <c r="A428" s="7"/>
      <c r="H428" s="3"/>
      <c r="I428" s="3"/>
      <c r="J428" s="3"/>
      <c r="K428" s="3"/>
      <c r="L428" s="3"/>
    </row>
    <row r="429" spans="1:12" x14ac:dyDescent="0.2">
      <c r="A429" s="7"/>
      <c r="H429" s="3"/>
      <c r="I429" s="3"/>
      <c r="J429" s="3"/>
      <c r="K429" s="3"/>
      <c r="L429" s="3"/>
    </row>
    <row r="430" spans="1:12" x14ac:dyDescent="0.2">
      <c r="A430" s="7"/>
      <c r="H430" s="3"/>
      <c r="I430" s="3"/>
      <c r="J430" s="3"/>
      <c r="K430" s="3"/>
      <c r="L430" s="3"/>
    </row>
    <row r="431" spans="1:12" x14ac:dyDescent="0.2">
      <c r="A431" s="7"/>
      <c r="H431" s="3"/>
      <c r="I431" s="3"/>
      <c r="J431" s="3"/>
      <c r="K431" s="3"/>
      <c r="L431" s="3"/>
    </row>
    <row r="432" spans="1:12" x14ac:dyDescent="0.2">
      <c r="A432" s="7"/>
      <c r="H432" s="3"/>
      <c r="I432" s="3"/>
      <c r="J432" s="3"/>
      <c r="K432" s="3"/>
      <c r="L432" s="3"/>
    </row>
    <row r="433" spans="1:12" x14ac:dyDescent="0.2">
      <c r="A433" s="7"/>
      <c r="H433" s="3"/>
      <c r="I433" s="3"/>
      <c r="J433" s="3"/>
      <c r="K433" s="3"/>
      <c r="L433" s="3"/>
    </row>
    <row r="434" spans="1:12" x14ac:dyDescent="0.2">
      <c r="A434" s="7"/>
      <c r="H434" s="3"/>
      <c r="I434" s="3"/>
      <c r="J434" s="3"/>
      <c r="K434" s="3"/>
      <c r="L434" s="3"/>
    </row>
    <row r="435" spans="1:12" x14ac:dyDescent="0.2">
      <c r="A435" s="7"/>
      <c r="H435" s="3"/>
      <c r="I435" s="3"/>
      <c r="J435" s="3"/>
      <c r="K435" s="3"/>
      <c r="L435" s="3"/>
    </row>
    <row r="436" spans="1:12" x14ac:dyDescent="0.2">
      <c r="A436" s="7"/>
      <c r="H436" s="3"/>
      <c r="I436" s="3"/>
      <c r="J436" s="3"/>
      <c r="K436" s="3"/>
      <c r="L436" s="3"/>
    </row>
    <row r="437" spans="1:12" x14ac:dyDescent="0.2">
      <c r="A437" s="7"/>
      <c r="H437" s="3"/>
      <c r="I437" s="3"/>
      <c r="J437" s="3"/>
      <c r="K437" s="3"/>
      <c r="L437" s="3"/>
    </row>
    <row r="438" spans="1:12" x14ac:dyDescent="0.2">
      <c r="A438" s="7"/>
      <c r="H438" s="3"/>
      <c r="I438" s="3"/>
      <c r="J438" s="3"/>
      <c r="K438" s="3"/>
      <c r="L438" s="3"/>
    </row>
    <row r="439" spans="1:12" x14ac:dyDescent="0.2">
      <c r="A439" s="7"/>
      <c r="H439" s="3"/>
      <c r="I439" s="3"/>
      <c r="J439" s="3"/>
      <c r="K439" s="3"/>
      <c r="L439" s="3"/>
    </row>
    <row r="440" spans="1:12" x14ac:dyDescent="0.2">
      <c r="A440" s="7"/>
      <c r="H440" s="3"/>
      <c r="I440" s="3"/>
      <c r="J440" s="3"/>
      <c r="K440" s="3"/>
      <c r="L440" s="3"/>
    </row>
    <row r="441" spans="1:12" x14ac:dyDescent="0.2">
      <c r="A441" s="7"/>
      <c r="H441" s="3"/>
      <c r="I441" s="3"/>
      <c r="J441" s="3"/>
      <c r="K441" s="3"/>
      <c r="L441" s="3"/>
    </row>
    <row r="442" spans="1:12" x14ac:dyDescent="0.2">
      <c r="A442" s="7"/>
      <c r="H442" s="3"/>
      <c r="I442" s="3"/>
      <c r="J442" s="3"/>
      <c r="K442" s="3"/>
      <c r="L442" s="3"/>
    </row>
    <row r="443" spans="1:12" x14ac:dyDescent="0.2">
      <c r="A443" s="7"/>
      <c r="H443" s="3"/>
      <c r="I443" s="3"/>
      <c r="J443" s="3"/>
      <c r="K443" s="3"/>
      <c r="L443" s="3"/>
    </row>
    <row r="444" spans="1:12" x14ac:dyDescent="0.2">
      <c r="A444" s="7"/>
      <c r="H444" s="3"/>
      <c r="I444" s="3"/>
      <c r="J444" s="3"/>
      <c r="K444" s="3"/>
      <c r="L444" s="3"/>
    </row>
    <row r="445" spans="1:12" x14ac:dyDescent="0.2">
      <c r="A445" s="7"/>
      <c r="H445" s="3"/>
      <c r="I445" s="3"/>
      <c r="J445" s="3"/>
      <c r="K445" s="3"/>
      <c r="L445" s="3"/>
    </row>
    <row r="446" spans="1:12" x14ac:dyDescent="0.2">
      <c r="A446" s="7"/>
      <c r="H446" s="3"/>
      <c r="I446" s="3"/>
      <c r="J446" s="3"/>
      <c r="K446" s="3"/>
      <c r="L446" s="3"/>
    </row>
    <row r="447" spans="1:12" x14ac:dyDescent="0.2">
      <c r="A447" s="7"/>
      <c r="H447" s="3"/>
      <c r="I447" s="3"/>
      <c r="J447" s="3"/>
      <c r="K447" s="3"/>
      <c r="L447" s="3"/>
    </row>
    <row r="448" spans="1:12" x14ac:dyDescent="0.2">
      <c r="A448" s="7"/>
      <c r="H448" s="3"/>
      <c r="I448" s="3"/>
      <c r="J448" s="3"/>
      <c r="K448" s="3"/>
      <c r="L448" s="3"/>
    </row>
    <row r="449" spans="1:12" x14ac:dyDescent="0.2">
      <c r="A449" s="7"/>
      <c r="H449" s="3"/>
      <c r="I449" s="3"/>
      <c r="J449" s="3"/>
      <c r="K449" s="3"/>
      <c r="L449" s="3"/>
    </row>
    <row r="450" spans="1:12" x14ac:dyDescent="0.2">
      <c r="A450" s="7"/>
      <c r="H450" s="3"/>
      <c r="I450" s="3"/>
      <c r="J450" s="3"/>
      <c r="K450" s="3"/>
      <c r="L450" s="3"/>
    </row>
    <row r="451" spans="1:12" x14ac:dyDescent="0.2">
      <c r="A451" s="7"/>
    </row>
    <row r="452" spans="1:12" x14ac:dyDescent="0.2">
      <c r="A452" s="7"/>
    </row>
    <row r="453" spans="1:12" x14ac:dyDescent="0.2">
      <c r="A453" s="7"/>
    </row>
    <row r="454" spans="1:12" x14ac:dyDescent="0.2">
      <c r="A454" s="7"/>
    </row>
    <row r="455" spans="1:12" x14ac:dyDescent="0.2">
      <c r="A455" s="7"/>
    </row>
    <row r="456" spans="1:12" x14ac:dyDescent="0.2">
      <c r="A456" s="7"/>
    </row>
    <row r="457" spans="1:12" x14ac:dyDescent="0.2">
      <c r="A457" s="7"/>
    </row>
    <row r="458" spans="1:12" x14ac:dyDescent="0.2">
      <c r="A458" s="7"/>
    </row>
    <row r="459" spans="1:12" x14ac:dyDescent="0.2">
      <c r="A459" s="7"/>
    </row>
    <row r="460" spans="1:12" x14ac:dyDescent="0.2">
      <c r="A460" s="7"/>
    </row>
    <row r="461" spans="1:12" x14ac:dyDescent="0.2">
      <c r="A461" s="7"/>
    </row>
    <row r="462" spans="1:12" x14ac:dyDescent="0.2">
      <c r="A462" s="7"/>
    </row>
    <row r="463" spans="1:12" x14ac:dyDescent="0.2">
      <c r="A463" s="7"/>
    </row>
    <row r="464" spans="1:12" x14ac:dyDescent="0.2">
      <c r="A464" s="7"/>
    </row>
    <row r="465" spans="1:1" x14ac:dyDescent="0.2">
      <c r="A465" s="7"/>
    </row>
    <row r="466" spans="1:1" x14ac:dyDescent="0.2">
      <c r="A466" s="7"/>
    </row>
    <row r="467" spans="1:1" x14ac:dyDescent="0.2">
      <c r="A467" s="7"/>
    </row>
    <row r="468" spans="1:1" x14ac:dyDescent="0.2">
      <c r="A468" s="7"/>
    </row>
    <row r="469" spans="1:1" x14ac:dyDescent="0.2">
      <c r="A469" s="7"/>
    </row>
    <row r="470" spans="1:1" x14ac:dyDescent="0.2">
      <c r="A470" s="7"/>
    </row>
    <row r="471" spans="1:1" x14ac:dyDescent="0.2">
      <c r="A471" s="7"/>
    </row>
    <row r="472" spans="1:1" x14ac:dyDescent="0.2">
      <c r="A472" s="7"/>
    </row>
    <row r="473" spans="1:1" x14ac:dyDescent="0.2">
      <c r="A473" s="7"/>
    </row>
    <row r="474" spans="1:1" x14ac:dyDescent="0.2">
      <c r="A474" s="7"/>
    </row>
    <row r="475" spans="1:1" x14ac:dyDescent="0.2">
      <c r="A475" s="7"/>
    </row>
    <row r="476" spans="1:1" x14ac:dyDescent="0.2">
      <c r="A476" s="7"/>
    </row>
    <row r="477" spans="1:1" x14ac:dyDescent="0.2">
      <c r="A477" s="7"/>
    </row>
    <row r="478" spans="1:1" x14ac:dyDescent="0.2">
      <c r="A478" s="7"/>
    </row>
    <row r="479" spans="1:1" x14ac:dyDescent="0.2">
      <c r="A479" s="7"/>
    </row>
    <row r="480" spans="1:1" x14ac:dyDescent="0.2">
      <c r="A480" s="7"/>
    </row>
    <row r="481" spans="1:1" x14ac:dyDescent="0.2">
      <c r="A481" s="7"/>
    </row>
    <row r="482" spans="1:1" x14ac:dyDescent="0.2">
      <c r="A482" s="7"/>
    </row>
    <row r="483" spans="1:1" x14ac:dyDescent="0.2">
      <c r="A483" s="7"/>
    </row>
    <row r="484" spans="1:1" x14ac:dyDescent="0.2">
      <c r="A484" s="7"/>
    </row>
    <row r="485" spans="1:1" x14ac:dyDescent="0.2">
      <c r="A485" s="7"/>
    </row>
    <row r="486" spans="1:1" x14ac:dyDescent="0.2">
      <c r="A486" s="7"/>
    </row>
    <row r="487" spans="1:1" x14ac:dyDescent="0.2">
      <c r="A487" s="7"/>
    </row>
    <row r="488" spans="1:1" x14ac:dyDescent="0.2">
      <c r="A488" s="7"/>
    </row>
    <row r="489" spans="1:1" x14ac:dyDescent="0.2">
      <c r="A489" s="7"/>
    </row>
    <row r="490" spans="1:1" x14ac:dyDescent="0.2">
      <c r="A490" s="7"/>
    </row>
    <row r="491" spans="1:1" x14ac:dyDescent="0.2">
      <c r="A491" s="7"/>
    </row>
    <row r="492" spans="1:1" x14ac:dyDescent="0.2">
      <c r="A492" s="7"/>
    </row>
    <row r="493" spans="1:1" x14ac:dyDescent="0.2">
      <c r="A493" s="7"/>
    </row>
    <row r="494" spans="1:1" x14ac:dyDescent="0.2">
      <c r="A494" s="7"/>
    </row>
    <row r="495" spans="1:1" x14ac:dyDescent="0.2">
      <c r="A495" s="7"/>
    </row>
    <row r="496" spans="1:1" x14ac:dyDescent="0.2">
      <c r="A496" s="7"/>
    </row>
    <row r="497" spans="1:1" x14ac:dyDescent="0.2">
      <c r="A497" s="7"/>
    </row>
    <row r="498" spans="1:1" x14ac:dyDescent="0.2">
      <c r="A498" s="7"/>
    </row>
    <row r="499" spans="1:1" x14ac:dyDescent="0.2">
      <c r="A499" s="7"/>
    </row>
    <row r="500" spans="1:1" x14ac:dyDescent="0.2">
      <c r="A500" s="7"/>
    </row>
    <row r="501" spans="1:1" x14ac:dyDescent="0.2">
      <c r="A501" s="7"/>
    </row>
    <row r="502" spans="1:1" x14ac:dyDescent="0.2">
      <c r="A502" s="7"/>
    </row>
    <row r="503" spans="1:1" x14ac:dyDescent="0.2">
      <c r="A503" s="7"/>
    </row>
    <row r="504" spans="1:1" x14ac:dyDescent="0.2">
      <c r="A504" s="7"/>
    </row>
    <row r="505" spans="1:1" x14ac:dyDescent="0.2">
      <c r="A505" s="7"/>
    </row>
    <row r="506" spans="1:1" x14ac:dyDescent="0.2">
      <c r="A506" s="7"/>
    </row>
    <row r="507" spans="1:1" x14ac:dyDescent="0.2">
      <c r="A507" s="7"/>
    </row>
    <row r="508" spans="1:1" x14ac:dyDescent="0.2">
      <c r="A508" s="7"/>
    </row>
    <row r="509" spans="1:1" x14ac:dyDescent="0.2">
      <c r="A509" s="7"/>
    </row>
    <row r="510" spans="1:1" x14ac:dyDescent="0.2">
      <c r="A510" s="7"/>
    </row>
    <row r="511" spans="1:1" x14ac:dyDescent="0.2">
      <c r="A511" s="7"/>
    </row>
    <row r="512" spans="1:1" x14ac:dyDescent="0.2">
      <c r="A512" s="7"/>
    </row>
    <row r="513" spans="1:1" x14ac:dyDescent="0.2">
      <c r="A513" s="7"/>
    </row>
    <row r="514" spans="1:1" x14ac:dyDescent="0.2">
      <c r="A514" s="7"/>
    </row>
    <row r="515" spans="1:1" x14ac:dyDescent="0.2">
      <c r="A515" s="7"/>
    </row>
    <row r="516" spans="1:1" x14ac:dyDescent="0.2">
      <c r="A516" s="7"/>
    </row>
    <row r="517" spans="1:1" x14ac:dyDescent="0.2">
      <c r="A517" s="7"/>
    </row>
    <row r="518" spans="1:1" x14ac:dyDescent="0.2">
      <c r="A518" s="7"/>
    </row>
    <row r="519" spans="1:1" x14ac:dyDescent="0.2">
      <c r="A519" s="7"/>
    </row>
    <row r="520" spans="1:1" x14ac:dyDescent="0.2">
      <c r="A520" s="7"/>
    </row>
    <row r="521" spans="1:1" x14ac:dyDescent="0.2">
      <c r="A521" s="7"/>
    </row>
    <row r="522" spans="1:1" x14ac:dyDescent="0.2">
      <c r="A522" s="7"/>
    </row>
    <row r="523" spans="1:1" x14ac:dyDescent="0.2">
      <c r="A523" s="7"/>
    </row>
    <row r="524" spans="1:1" x14ac:dyDescent="0.2">
      <c r="A524" s="7"/>
    </row>
    <row r="525" spans="1:1" x14ac:dyDescent="0.2">
      <c r="A525" s="7"/>
    </row>
    <row r="526" spans="1:1" x14ac:dyDescent="0.2">
      <c r="A526" s="7"/>
    </row>
    <row r="527" spans="1:1" x14ac:dyDescent="0.2">
      <c r="A527" s="7"/>
    </row>
    <row r="528" spans="1:1" x14ac:dyDescent="0.2">
      <c r="A528" s="7"/>
    </row>
    <row r="529" spans="1:1" x14ac:dyDescent="0.2">
      <c r="A529" s="7"/>
    </row>
    <row r="530" spans="1:1" x14ac:dyDescent="0.2">
      <c r="A530" s="7"/>
    </row>
    <row r="531" spans="1:1" x14ac:dyDescent="0.2">
      <c r="A531" s="7"/>
    </row>
    <row r="532" spans="1:1" x14ac:dyDescent="0.2">
      <c r="A532" s="7"/>
    </row>
    <row r="533" spans="1:1" x14ac:dyDescent="0.2">
      <c r="A533" s="7"/>
    </row>
    <row r="534" spans="1:1" x14ac:dyDescent="0.2">
      <c r="A534" s="7"/>
    </row>
    <row r="535" spans="1:1" x14ac:dyDescent="0.2">
      <c r="A535" s="7"/>
    </row>
    <row r="536" spans="1:1" x14ac:dyDescent="0.2">
      <c r="A536" s="7"/>
    </row>
    <row r="537" spans="1:1" x14ac:dyDescent="0.2">
      <c r="A537" s="7"/>
    </row>
    <row r="538" spans="1:1" x14ac:dyDescent="0.2">
      <c r="A538" s="7"/>
    </row>
    <row r="539" spans="1:1" x14ac:dyDescent="0.2">
      <c r="A539" s="7"/>
    </row>
    <row r="540" spans="1:1" x14ac:dyDescent="0.2">
      <c r="A540" s="7"/>
    </row>
    <row r="541" spans="1:1" x14ac:dyDescent="0.2">
      <c r="A541" s="7"/>
    </row>
    <row r="542" spans="1:1" x14ac:dyDescent="0.2">
      <c r="A542" s="7"/>
    </row>
    <row r="543" spans="1:1" x14ac:dyDescent="0.2">
      <c r="A543" s="7"/>
    </row>
    <row r="544" spans="1:1" x14ac:dyDescent="0.2">
      <c r="A544" s="7"/>
    </row>
    <row r="545" spans="1:1" x14ac:dyDescent="0.2">
      <c r="A545" s="7"/>
    </row>
    <row r="546" spans="1:1" x14ac:dyDescent="0.2">
      <c r="A546" s="7"/>
    </row>
    <row r="547" spans="1:1" x14ac:dyDescent="0.2">
      <c r="A547" s="7"/>
    </row>
    <row r="548" spans="1:1" x14ac:dyDescent="0.2">
      <c r="A548" s="7"/>
    </row>
    <row r="549" spans="1:1" x14ac:dyDescent="0.2">
      <c r="A549" s="7"/>
    </row>
    <row r="550" spans="1:1" x14ac:dyDescent="0.2">
      <c r="A550" s="7"/>
    </row>
    <row r="551" spans="1:1" x14ac:dyDescent="0.2">
      <c r="A551" s="7"/>
    </row>
    <row r="552" spans="1:1" x14ac:dyDescent="0.2">
      <c r="A552" s="7"/>
    </row>
    <row r="553" spans="1:1" x14ac:dyDescent="0.2">
      <c r="A553" s="7"/>
    </row>
    <row r="554" spans="1:1" x14ac:dyDescent="0.2">
      <c r="A554" s="7"/>
    </row>
    <row r="555" spans="1:1" x14ac:dyDescent="0.2">
      <c r="A555" s="7"/>
    </row>
    <row r="556" spans="1:1" x14ac:dyDescent="0.2">
      <c r="A556" s="7"/>
    </row>
    <row r="557" spans="1:1" x14ac:dyDescent="0.2">
      <c r="A557" s="7"/>
    </row>
    <row r="558" spans="1:1" x14ac:dyDescent="0.2">
      <c r="A558" s="7"/>
    </row>
    <row r="559" spans="1:1" x14ac:dyDescent="0.2">
      <c r="A559" s="7"/>
    </row>
    <row r="560" spans="1:1" x14ac:dyDescent="0.2">
      <c r="A560" s="7"/>
    </row>
    <row r="561" spans="1:1" x14ac:dyDescent="0.2">
      <c r="A561" s="7"/>
    </row>
    <row r="562" spans="1:1" x14ac:dyDescent="0.2">
      <c r="A562" s="7"/>
    </row>
    <row r="563" spans="1:1" x14ac:dyDescent="0.2">
      <c r="A563" s="7"/>
    </row>
    <row r="564" spans="1:1" x14ac:dyDescent="0.2">
      <c r="A564" s="7"/>
    </row>
    <row r="565" spans="1:1" x14ac:dyDescent="0.2">
      <c r="A565" s="7"/>
    </row>
    <row r="566" spans="1:1" x14ac:dyDescent="0.2">
      <c r="A566" s="7"/>
    </row>
    <row r="567" spans="1:1" x14ac:dyDescent="0.2">
      <c r="A567" s="7"/>
    </row>
    <row r="568" spans="1:1" x14ac:dyDescent="0.2">
      <c r="A568" s="7"/>
    </row>
    <row r="569" spans="1:1" x14ac:dyDescent="0.2">
      <c r="A569" s="7"/>
    </row>
    <row r="570" spans="1:1" x14ac:dyDescent="0.2">
      <c r="A570" s="7"/>
    </row>
    <row r="571" spans="1:1" x14ac:dyDescent="0.2">
      <c r="A571" s="7"/>
    </row>
    <row r="572" spans="1:1" x14ac:dyDescent="0.2">
      <c r="A572" s="7"/>
    </row>
    <row r="573" spans="1:1" x14ac:dyDescent="0.2">
      <c r="A573" s="7"/>
    </row>
    <row r="574" spans="1:1" x14ac:dyDescent="0.2">
      <c r="A574" s="7"/>
    </row>
    <row r="575" spans="1:1" x14ac:dyDescent="0.2">
      <c r="A575" s="7"/>
    </row>
    <row r="576" spans="1:1" x14ac:dyDescent="0.2">
      <c r="A576" s="7"/>
    </row>
    <row r="577" spans="1:1" x14ac:dyDescent="0.2">
      <c r="A577" s="7"/>
    </row>
    <row r="578" spans="1:1" x14ac:dyDescent="0.2">
      <c r="A578" s="7"/>
    </row>
    <row r="579" spans="1:1" x14ac:dyDescent="0.2">
      <c r="A579" s="7"/>
    </row>
    <row r="580" spans="1:1" x14ac:dyDescent="0.2">
      <c r="A580" s="7"/>
    </row>
    <row r="581" spans="1:1" x14ac:dyDescent="0.2">
      <c r="A581" s="7"/>
    </row>
    <row r="582" spans="1:1" x14ac:dyDescent="0.2">
      <c r="A582" s="7"/>
    </row>
    <row r="583" spans="1:1" x14ac:dyDescent="0.2">
      <c r="A583" s="7"/>
    </row>
    <row r="584" spans="1:1" x14ac:dyDescent="0.2">
      <c r="A584" s="7"/>
    </row>
    <row r="585" spans="1:1" x14ac:dyDescent="0.2">
      <c r="A585" s="7"/>
    </row>
    <row r="586" spans="1:1" x14ac:dyDescent="0.2">
      <c r="A586" s="7"/>
    </row>
    <row r="587" spans="1:1" x14ac:dyDescent="0.2">
      <c r="A587" s="7"/>
    </row>
    <row r="588" spans="1:1" x14ac:dyDescent="0.2">
      <c r="A588" s="7"/>
    </row>
    <row r="589" spans="1:1" x14ac:dyDescent="0.2">
      <c r="A589" s="7"/>
    </row>
    <row r="590" spans="1:1" x14ac:dyDescent="0.2">
      <c r="A590" s="7"/>
    </row>
    <row r="591" spans="1:1" x14ac:dyDescent="0.2">
      <c r="A591" s="7"/>
    </row>
    <row r="592" spans="1:1" x14ac:dyDescent="0.2">
      <c r="A592" s="7"/>
    </row>
    <row r="593" spans="1:1" x14ac:dyDescent="0.2">
      <c r="A593" s="7"/>
    </row>
    <row r="594" spans="1:1" x14ac:dyDescent="0.2">
      <c r="A594" s="7"/>
    </row>
    <row r="595" spans="1:1" x14ac:dyDescent="0.2">
      <c r="A595" s="7"/>
    </row>
    <row r="596" spans="1:1" x14ac:dyDescent="0.2">
      <c r="A596" s="7"/>
    </row>
    <row r="597" spans="1:1" x14ac:dyDescent="0.2">
      <c r="A597" s="7"/>
    </row>
    <row r="598" spans="1:1" x14ac:dyDescent="0.2">
      <c r="A598" s="7"/>
    </row>
    <row r="599" spans="1:1" x14ac:dyDescent="0.2">
      <c r="A599" s="7"/>
    </row>
    <row r="600" spans="1:1" x14ac:dyDescent="0.2">
      <c r="A600" s="7"/>
    </row>
    <row r="601" spans="1:1" x14ac:dyDescent="0.2">
      <c r="A601" s="7"/>
    </row>
    <row r="602" spans="1:1" x14ac:dyDescent="0.2">
      <c r="A602" s="7"/>
    </row>
    <row r="603" spans="1:1" x14ac:dyDescent="0.2">
      <c r="A603" s="7"/>
    </row>
    <row r="604" spans="1:1" x14ac:dyDescent="0.2">
      <c r="A604" s="7"/>
    </row>
    <row r="605" spans="1:1" x14ac:dyDescent="0.2">
      <c r="A605" s="7"/>
    </row>
    <row r="606" spans="1:1" x14ac:dyDescent="0.2">
      <c r="A606" s="7"/>
    </row>
    <row r="607" spans="1:1" x14ac:dyDescent="0.2">
      <c r="A607" s="7"/>
    </row>
    <row r="608" spans="1:1" x14ac:dyDescent="0.2">
      <c r="A608" s="7"/>
    </row>
    <row r="609" spans="1:1" x14ac:dyDescent="0.2">
      <c r="A609" s="7"/>
    </row>
    <row r="610" spans="1:1" x14ac:dyDescent="0.2">
      <c r="A610" s="7"/>
    </row>
    <row r="611" spans="1:1" x14ac:dyDescent="0.2">
      <c r="A611" s="7"/>
    </row>
    <row r="612" spans="1:1" x14ac:dyDescent="0.2">
      <c r="A612" s="7"/>
    </row>
    <row r="613" spans="1:1" x14ac:dyDescent="0.2">
      <c r="A613" s="7"/>
    </row>
    <row r="614" spans="1:1" x14ac:dyDescent="0.2">
      <c r="A614" s="7"/>
    </row>
    <row r="615" spans="1:1" x14ac:dyDescent="0.2">
      <c r="A615" s="7"/>
    </row>
    <row r="616" spans="1:1" x14ac:dyDescent="0.2">
      <c r="A616" s="7"/>
    </row>
    <row r="617" spans="1:1" x14ac:dyDescent="0.2">
      <c r="A617" s="7"/>
    </row>
    <row r="618" spans="1:1" x14ac:dyDescent="0.2">
      <c r="A618" s="7"/>
    </row>
    <row r="619" spans="1:1" x14ac:dyDescent="0.2">
      <c r="A619" s="7"/>
    </row>
    <row r="620" spans="1:1" x14ac:dyDescent="0.2">
      <c r="A620" s="7"/>
    </row>
    <row r="621" spans="1:1" x14ac:dyDescent="0.2">
      <c r="A621" s="7"/>
    </row>
    <row r="622" spans="1:1" x14ac:dyDescent="0.2">
      <c r="A622" s="7"/>
    </row>
    <row r="623" spans="1:1" x14ac:dyDescent="0.2">
      <c r="A623" s="7"/>
    </row>
    <row r="624" spans="1:1" x14ac:dyDescent="0.2">
      <c r="A624" s="7"/>
    </row>
    <row r="625" spans="1:1" x14ac:dyDescent="0.2">
      <c r="A625" s="7"/>
    </row>
    <row r="626" spans="1:1" x14ac:dyDescent="0.2">
      <c r="A626" s="7"/>
    </row>
    <row r="627" spans="1:1" x14ac:dyDescent="0.2">
      <c r="A627" s="7"/>
    </row>
    <row r="628" spans="1:1" x14ac:dyDescent="0.2">
      <c r="A628" s="7"/>
    </row>
    <row r="629" spans="1:1" x14ac:dyDescent="0.2">
      <c r="A629" s="7"/>
    </row>
    <row r="630" spans="1:1" x14ac:dyDescent="0.2">
      <c r="A630" s="7"/>
    </row>
    <row r="631" spans="1:1" x14ac:dyDescent="0.2">
      <c r="A631" s="7"/>
    </row>
    <row r="632" spans="1:1" x14ac:dyDescent="0.2">
      <c r="A632" s="7"/>
    </row>
    <row r="633" spans="1:1" x14ac:dyDescent="0.2">
      <c r="A633" s="7"/>
    </row>
    <row r="634" spans="1:1" x14ac:dyDescent="0.2">
      <c r="A634" s="7"/>
    </row>
    <row r="635" spans="1:1" x14ac:dyDescent="0.2">
      <c r="A635" s="7"/>
    </row>
    <row r="636" spans="1:1" x14ac:dyDescent="0.2">
      <c r="A636" s="7"/>
    </row>
    <row r="637" spans="1:1" x14ac:dyDescent="0.2">
      <c r="A637" s="7"/>
    </row>
    <row r="638" spans="1:1" x14ac:dyDescent="0.2">
      <c r="A638" s="7"/>
    </row>
    <row r="639" spans="1:1" x14ac:dyDescent="0.2">
      <c r="A639" s="7"/>
    </row>
    <row r="640" spans="1:1" x14ac:dyDescent="0.2">
      <c r="A640" s="7"/>
    </row>
    <row r="641" spans="1:1" x14ac:dyDescent="0.2">
      <c r="A641" s="7"/>
    </row>
    <row r="642" spans="1:1" x14ac:dyDescent="0.2">
      <c r="A642" s="7"/>
    </row>
    <row r="643" spans="1:1" x14ac:dyDescent="0.2">
      <c r="A643" s="7"/>
    </row>
    <row r="644" spans="1:1" x14ac:dyDescent="0.2">
      <c r="A644" s="7"/>
    </row>
    <row r="645" spans="1:1" x14ac:dyDescent="0.2">
      <c r="A645" s="7"/>
    </row>
    <row r="646" spans="1:1" x14ac:dyDescent="0.2">
      <c r="A646" s="7"/>
    </row>
    <row r="647" spans="1:1" x14ac:dyDescent="0.2">
      <c r="A647" s="7"/>
    </row>
    <row r="648" spans="1:1" x14ac:dyDescent="0.2">
      <c r="A648" s="7"/>
    </row>
    <row r="649" spans="1:1" x14ac:dyDescent="0.2">
      <c r="A649" s="7"/>
    </row>
    <row r="650" spans="1:1" x14ac:dyDescent="0.2">
      <c r="A650" s="7"/>
    </row>
    <row r="651" spans="1:1" x14ac:dyDescent="0.2">
      <c r="A651" s="7"/>
    </row>
    <row r="652" spans="1:1" x14ac:dyDescent="0.2">
      <c r="A652" s="7"/>
    </row>
    <row r="653" spans="1:1" x14ac:dyDescent="0.2">
      <c r="A653" s="7"/>
    </row>
    <row r="654" spans="1:1" x14ac:dyDescent="0.2">
      <c r="A654" s="7"/>
    </row>
    <row r="655" spans="1:1" x14ac:dyDescent="0.2">
      <c r="A655" s="7"/>
    </row>
    <row r="656" spans="1:1" x14ac:dyDescent="0.2">
      <c r="A656" s="7"/>
    </row>
    <row r="657" spans="1:1" x14ac:dyDescent="0.2">
      <c r="A657" s="7"/>
    </row>
    <row r="658" spans="1:1" x14ac:dyDescent="0.2">
      <c r="A658" s="7"/>
    </row>
    <row r="659" spans="1:1" x14ac:dyDescent="0.2">
      <c r="A659" s="7"/>
    </row>
    <row r="660" spans="1:1" x14ac:dyDescent="0.2">
      <c r="A660" s="7"/>
    </row>
    <row r="661" spans="1:1" x14ac:dyDescent="0.2">
      <c r="A661" s="7"/>
    </row>
    <row r="662" spans="1:1" x14ac:dyDescent="0.2">
      <c r="A662" s="7"/>
    </row>
    <row r="663" spans="1:1" x14ac:dyDescent="0.2">
      <c r="A663" s="7"/>
    </row>
    <row r="664" spans="1:1" x14ac:dyDescent="0.2">
      <c r="A664" s="7"/>
    </row>
    <row r="665" spans="1:1" x14ac:dyDescent="0.2">
      <c r="A665" s="7"/>
    </row>
    <row r="666" spans="1:1" x14ac:dyDescent="0.2">
      <c r="A666" s="7"/>
    </row>
    <row r="667" spans="1:1" x14ac:dyDescent="0.2">
      <c r="A667" s="7"/>
    </row>
    <row r="668" spans="1:1" x14ac:dyDescent="0.2">
      <c r="A668" s="7"/>
    </row>
    <row r="669" spans="1:1" x14ac:dyDescent="0.2">
      <c r="A669" s="7"/>
    </row>
    <row r="670" spans="1:1" x14ac:dyDescent="0.2">
      <c r="A670" s="7"/>
    </row>
    <row r="671" spans="1:1" x14ac:dyDescent="0.2">
      <c r="A671" s="7"/>
    </row>
    <row r="672" spans="1:1" x14ac:dyDescent="0.2">
      <c r="A672" s="7"/>
    </row>
    <row r="673" spans="1:1" x14ac:dyDescent="0.2">
      <c r="A673" s="7"/>
    </row>
    <row r="674" spans="1:1" x14ac:dyDescent="0.2">
      <c r="A674" s="7"/>
    </row>
    <row r="675" spans="1:1" x14ac:dyDescent="0.2">
      <c r="A675" s="7"/>
    </row>
    <row r="676" spans="1:1" x14ac:dyDescent="0.2">
      <c r="A676" s="7"/>
    </row>
    <row r="677" spans="1:1" x14ac:dyDescent="0.2">
      <c r="A677" s="7"/>
    </row>
    <row r="678" spans="1:1" x14ac:dyDescent="0.2">
      <c r="A678" s="7"/>
    </row>
    <row r="679" spans="1:1" x14ac:dyDescent="0.2">
      <c r="A679" s="7"/>
    </row>
    <row r="680" spans="1:1" x14ac:dyDescent="0.2">
      <c r="A680" s="7"/>
    </row>
    <row r="681" spans="1:1" x14ac:dyDescent="0.2">
      <c r="A681" s="7"/>
    </row>
    <row r="682" spans="1:1" x14ac:dyDescent="0.2">
      <c r="A682" s="7"/>
    </row>
    <row r="683" spans="1:1" x14ac:dyDescent="0.2">
      <c r="A683" s="7"/>
    </row>
    <row r="684" spans="1:1" x14ac:dyDescent="0.2">
      <c r="A684" s="7"/>
    </row>
    <row r="685" spans="1:1" x14ac:dyDescent="0.2">
      <c r="A685" s="7"/>
    </row>
    <row r="686" spans="1:1" x14ac:dyDescent="0.2">
      <c r="A686" s="7"/>
    </row>
    <row r="687" spans="1:1" x14ac:dyDescent="0.2">
      <c r="A687" s="7"/>
    </row>
    <row r="688" spans="1:1" x14ac:dyDescent="0.2">
      <c r="A688" s="7"/>
    </row>
    <row r="689" spans="1:1" x14ac:dyDescent="0.2">
      <c r="A689" s="7"/>
    </row>
    <row r="690" spans="1:1" x14ac:dyDescent="0.2">
      <c r="A690" s="7"/>
    </row>
    <row r="691" spans="1:1" x14ac:dyDescent="0.2">
      <c r="A691" s="7"/>
    </row>
    <row r="692" spans="1:1" x14ac:dyDescent="0.2">
      <c r="A692" s="7"/>
    </row>
    <row r="693" spans="1:1" x14ac:dyDescent="0.2">
      <c r="A693" s="7"/>
    </row>
    <row r="694" spans="1:1" x14ac:dyDescent="0.2">
      <c r="A694" s="7"/>
    </row>
    <row r="695" spans="1:1" x14ac:dyDescent="0.2">
      <c r="A695" s="7"/>
    </row>
    <row r="696" spans="1:1" x14ac:dyDescent="0.2">
      <c r="A696" s="7"/>
    </row>
    <row r="697" spans="1:1" x14ac:dyDescent="0.2">
      <c r="A697" s="7"/>
    </row>
    <row r="698" spans="1:1" x14ac:dyDescent="0.2">
      <c r="A698" s="7"/>
    </row>
    <row r="699" spans="1:1" x14ac:dyDescent="0.2">
      <c r="A699" s="7"/>
    </row>
    <row r="700" spans="1:1" x14ac:dyDescent="0.2">
      <c r="A700" s="7"/>
    </row>
    <row r="701" spans="1:1" x14ac:dyDescent="0.2">
      <c r="A701" s="7"/>
    </row>
    <row r="702" spans="1:1" x14ac:dyDescent="0.2">
      <c r="A702" s="7"/>
    </row>
    <row r="703" spans="1:1" x14ac:dyDescent="0.2">
      <c r="A703" s="7"/>
    </row>
    <row r="704" spans="1:1" x14ac:dyDescent="0.2">
      <c r="A704" s="7"/>
    </row>
    <row r="705" spans="1:1" x14ac:dyDescent="0.2">
      <c r="A705" s="7"/>
    </row>
    <row r="706" spans="1:1" x14ac:dyDescent="0.2">
      <c r="A706" s="7"/>
    </row>
    <row r="707" spans="1:1" x14ac:dyDescent="0.2">
      <c r="A707" s="7"/>
    </row>
    <row r="708" spans="1:1" x14ac:dyDescent="0.2">
      <c r="A708" s="7"/>
    </row>
    <row r="709" spans="1:1" x14ac:dyDescent="0.2">
      <c r="A709" s="7"/>
    </row>
    <row r="710" spans="1:1" x14ac:dyDescent="0.2">
      <c r="A710" s="7"/>
    </row>
    <row r="711" spans="1:1" x14ac:dyDescent="0.2">
      <c r="A711" s="7"/>
    </row>
    <row r="712" spans="1:1" x14ac:dyDescent="0.2">
      <c r="A712" s="7"/>
    </row>
    <row r="713" spans="1:1" x14ac:dyDescent="0.2">
      <c r="A713" s="7"/>
    </row>
    <row r="714" spans="1:1" x14ac:dyDescent="0.2">
      <c r="A714" s="7"/>
    </row>
    <row r="715" spans="1:1" x14ac:dyDescent="0.2">
      <c r="A715" s="7"/>
    </row>
    <row r="716" spans="1:1" x14ac:dyDescent="0.2">
      <c r="A716" s="7"/>
    </row>
    <row r="717" spans="1:1" x14ac:dyDescent="0.2">
      <c r="A717" s="7"/>
    </row>
    <row r="718" spans="1:1" x14ac:dyDescent="0.2">
      <c r="A718" s="7"/>
    </row>
    <row r="719" spans="1:1" x14ac:dyDescent="0.2">
      <c r="A719" s="7"/>
    </row>
    <row r="720" spans="1:1" x14ac:dyDescent="0.2">
      <c r="A720" s="7"/>
    </row>
    <row r="721" spans="1:1" x14ac:dyDescent="0.2">
      <c r="A721" s="7"/>
    </row>
    <row r="722" spans="1:1" x14ac:dyDescent="0.2">
      <c r="A722" s="7"/>
    </row>
    <row r="723" spans="1:1" x14ac:dyDescent="0.2">
      <c r="A723" s="7"/>
    </row>
    <row r="724" spans="1:1" x14ac:dyDescent="0.2">
      <c r="A724" s="7"/>
    </row>
    <row r="725" spans="1:1" x14ac:dyDescent="0.2">
      <c r="A725" s="7"/>
    </row>
    <row r="726" spans="1:1" x14ac:dyDescent="0.2">
      <c r="A726" s="7"/>
    </row>
    <row r="727" spans="1:1" x14ac:dyDescent="0.2">
      <c r="A727" s="7"/>
    </row>
    <row r="728" spans="1:1" x14ac:dyDescent="0.2">
      <c r="A728" s="7"/>
    </row>
    <row r="729" spans="1:1" x14ac:dyDescent="0.2">
      <c r="A729" s="7"/>
    </row>
    <row r="730" spans="1:1" x14ac:dyDescent="0.2">
      <c r="A730" s="7"/>
    </row>
    <row r="731" spans="1:1" x14ac:dyDescent="0.2">
      <c r="A731" s="7"/>
    </row>
    <row r="732" spans="1:1" x14ac:dyDescent="0.2">
      <c r="A732" s="7"/>
    </row>
    <row r="733" spans="1:1" x14ac:dyDescent="0.2">
      <c r="A733" s="7"/>
    </row>
    <row r="734" spans="1:1" x14ac:dyDescent="0.2">
      <c r="A734" s="7"/>
    </row>
    <row r="735" spans="1:1" x14ac:dyDescent="0.2">
      <c r="A735" s="7"/>
    </row>
    <row r="736" spans="1:1" x14ac:dyDescent="0.2">
      <c r="A736" s="7"/>
    </row>
    <row r="737" spans="1:1" x14ac:dyDescent="0.2">
      <c r="A737" s="7"/>
    </row>
    <row r="738" spans="1:1" x14ac:dyDescent="0.2">
      <c r="A738" s="7"/>
    </row>
    <row r="739" spans="1:1" x14ac:dyDescent="0.2">
      <c r="A739" s="7"/>
    </row>
    <row r="740" spans="1:1" x14ac:dyDescent="0.2">
      <c r="A740" s="7"/>
    </row>
    <row r="741" spans="1:1" x14ac:dyDescent="0.2">
      <c r="A741" s="7"/>
    </row>
    <row r="742" spans="1:1" x14ac:dyDescent="0.2">
      <c r="A742" s="7"/>
    </row>
    <row r="743" spans="1:1" x14ac:dyDescent="0.2">
      <c r="A743" s="7"/>
    </row>
    <row r="744" spans="1:1" x14ac:dyDescent="0.2">
      <c r="A744" s="7"/>
    </row>
    <row r="745" spans="1:1" x14ac:dyDescent="0.2">
      <c r="A745" s="7"/>
    </row>
    <row r="746" spans="1:1" x14ac:dyDescent="0.2">
      <c r="A746" s="7"/>
    </row>
    <row r="747" spans="1:1" x14ac:dyDescent="0.2">
      <c r="A747" s="7"/>
    </row>
    <row r="748" spans="1:1" x14ac:dyDescent="0.2">
      <c r="A748" s="7"/>
    </row>
    <row r="749" spans="1:1" x14ac:dyDescent="0.2">
      <c r="A749" s="7"/>
    </row>
    <row r="750" spans="1:1" x14ac:dyDescent="0.2">
      <c r="A750" s="7"/>
    </row>
    <row r="751" spans="1:1" x14ac:dyDescent="0.2">
      <c r="A751" s="7"/>
    </row>
    <row r="752" spans="1:1" x14ac:dyDescent="0.2">
      <c r="A752" s="7"/>
    </row>
    <row r="753" spans="1:1" x14ac:dyDescent="0.2">
      <c r="A753" s="7"/>
    </row>
    <row r="754" spans="1:1" x14ac:dyDescent="0.2">
      <c r="A754" s="7"/>
    </row>
    <row r="755" spans="1:1" x14ac:dyDescent="0.2">
      <c r="A755" s="7"/>
    </row>
    <row r="756" spans="1:1" x14ac:dyDescent="0.2">
      <c r="A756" s="7"/>
    </row>
    <row r="757" spans="1:1" x14ac:dyDescent="0.2">
      <c r="A757" s="7"/>
    </row>
    <row r="758" spans="1:1" x14ac:dyDescent="0.2">
      <c r="A758" s="7"/>
    </row>
    <row r="759" spans="1:1" x14ac:dyDescent="0.2">
      <c r="A759" s="7"/>
    </row>
    <row r="760" spans="1:1" x14ac:dyDescent="0.2">
      <c r="A760" s="7"/>
    </row>
    <row r="761" spans="1:1" x14ac:dyDescent="0.2">
      <c r="A761" s="7"/>
    </row>
    <row r="762" spans="1:1" x14ac:dyDescent="0.2">
      <c r="A762" s="7"/>
    </row>
    <row r="763" spans="1:1" x14ac:dyDescent="0.2">
      <c r="A763" s="7"/>
    </row>
    <row r="764" spans="1:1" x14ac:dyDescent="0.2">
      <c r="A764" s="7"/>
    </row>
    <row r="765" spans="1:1" x14ac:dyDescent="0.2">
      <c r="A765" s="7"/>
    </row>
    <row r="766" spans="1:1" x14ac:dyDescent="0.2">
      <c r="A766" s="7"/>
    </row>
    <row r="767" spans="1:1" x14ac:dyDescent="0.2">
      <c r="A767" s="7"/>
    </row>
    <row r="768" spans="1:1" x14ac:dyDescent="0.2">
      <c r="A768" s="7"/>
    </row>
    <row r="769" spans="1:1" x14ac:dyDescent="0.2">
      <c r="A769" s="7"/>
    </row>
    <row r="770" spans="1:1" x14ac:dyDescent="0.2">
      <c r="A770" s="7"/>
    </row>
    <row r="771" spans="1:1" x14ac:dyDescent="0.2">
      <c r="A771" s="7"/>
    </row>
    <row r="772" spans="1:1" x14ac:dyDescent="0.2">
      <c r="A772" s="7"/>
    </row>
    <row r="773" spans="1:1" x14ac:dyDescent="0.2">
      <c r="A773" s="7"/>
    </row>
    <row r="774" spans="1:1" x14ac:dyDescent="0.2">
      <c r="A774" s="7"/>
    </row>
    <row r="775" spans="1:1" x14ac:dyDescent="0.2">
      <c r="A775" s="7"/>
    </row>
    <row r="776" spans="1:1" x14ac:dyDescent="0.2">
      <c r="A776" s="7"/>
    </row>
    <row r="777" spans="1:1" x14ac:dyDescent="0.2">
      <c r="A777" s="7"/>
    </row>
    <row r="778" spans="1:1" x14ac:dyDescent="0.2">
      <c r="A778" s="7"/>
    </row>
    <row r="779" spans="1:1" x14ac:dyDescent="0.2">
      <c r="A779" s="7"/>
    </row>
    <row r="780" spans="1:1" x14ac:dyDescent="0.2">
      <c r="A780" s="7"/>
    </row>
    <row r="781" spans="1:1" x14ac:dyDescent="0.2">
      <c r="A781" s="7"/>
    </row>
    <row r="782" spans="1:1" x14ac:dyDescent="0.2">
      <c r="A782" s="7"/>
    </row>
    <row r="783" spans="1:1" x14ac:dyDescent="0.2">
      <c r="A783" s="7"/>
    </row>
    <row r="784" spans="1:1" x14ac:dyDescent="0.2">
      <c r="A784" s="7"/>
    </row>
    <row r="785" spans="1:1" x14ac:dyDescent="0.2">
      <c r="A785" s="7"/>
    </row>
    <row r="786" spans="1:1" x14ac:dyDescent="0.2">
      <c r="A786" s="7"/>
    </row>
    <row r="787" spans="1:1" x14ac:dyDescent="0.2">
      <c r="A787" s="7"/>
    </row>
    <row r="788" spans="1:1" x14ac:dyDescent="0.2">
      <c r="A788" s="7"/>
    </row>
    <row r="789" spans="1:1" x14ac:dyDescent="0.2">
      <c r="A789" s="7"/>
    </row>
    <row r="790" spans="1:1" x14ac:dyDescent="0.2">
      <c r="A790" s="7"/>
    </row>
    <row r="791" spans="1:1" x14ac:dyDescent="0.2">
      <c r="A791" s="7"/>
    </row>
    <row r="792" spans="1:1" x14ac:dyDescent="0.2">
      <c r="A792" s="7"/>
    </row>
    <row r="793" spans="1:1" x14ac:dyDescent="0.2">
      <c r="A793" s="7"/>
    </row>
    <row r="794" spans="1:1" x14ac:dyDescent="0.2">
      <c r="A794" s="7"/>
    </row>
    <row r="795" spans="1:1" x14ac:dyDescent="0.2">
      <c r="A795" s="7"/>
    </row>
    <row r="796" spans="1:1" x14ac:dyDescent="0.2">
      <c r="A796" s="7"/>
    </row>
    <row r="797" spans="1:1" x14ac:dyDescent="0.2">
      <c r="A797" s="7"/>
    </row>
    <row r="798" spans="1:1" x14ac:dyDescent="0.2">
      <c r="A798" s="7"/>
    </row>
    <row r="799" spans="1:1" x14ac:dyDescent="0.2">
      <c r="A799" s="7"/>
    </row>
    <row r="800" spans="1:1" x14ac:dyDescent="0.2">
      <c r="A800" s="7"/>
    </row>
    <row r="801" spans="1:1" x14ac:dyDescent="0.2">
      <c r="A801" s="7"/>
    </row>
    <row r="802" spans="1:1" x14ac:dyDescent="0.2">
      <c r="A802" s="7"/>
    </row>
    <row r="803" spans="1:1" x14ac:dyDescent="0.2">
      <c r="A803" s="7"/>
    </row>
    <row r="804" spans="1:1" x14ac:dyDescent="0.2">
      <c r="A804" s="7"/>
    </row>
    <row r="805" spans="1:1" x14ac:dyDescent="0.2">
      <c r="A805" s="7"/>
    </row>
    <row r="806" spans="1:1" x14ac:dyDescent="0.2">
      <c r="A806" s="7"/>
    </row>
    <row r="807" spans="1:1" x14ac:dyDescent="0.2">
      <c r="A807" s="7"/>
    </row>
    <row r="808" spans="1:1" x14ac:dyDescent="0.2">
      <c r="A808" s="7"/>
    </row>
    <row r="809" spans="1:1" x14ac:dyDescent="0.2">
      <c r="A809" s="7"/>
    </row>
    <row r="810" spans="1:1" x14ac:dyDescent="0.2">
      <c r="A810" s="7"/>
    </row>
    <row r="811" spans="1:1" x14ac:dyDescent="0.2">
      <c r="A811" s="7"/>
    </row>
    <row r="812" spans="1:1" x14ac:dyDescent="0.2">
      <c r="A812" s="7"/>
    </row>
    <row r="813" spans="1:1" x14ac:dyDescent="0.2">
      <c r="A813" s="7"/>
    </row>
    <row r="814" spans="1:1" x14ac:dyDescent="0.2">
      <c r="A814" s="7"/>
    </row>
    <row r="815" spans="1:1" x14ac:dyDescent="0.2">
      <c r="A815" s="7"/>
    </row>
    <row r="816" spans="1:1" x14ac:dyDescent="0.2">
      <c r="A816" s="7"/>
    </row>
    <row r="817" spans="1:1" x14ac:dyDescent="0.2">
      <c r="A817" s="7"/>
    </row>
    <row r="818" spans="1:1" x14ac:dyDescent="0.2">
      <c r="A818" s="7"/>
    </row>
    <row r="819" spans="1:1" x14ac:dyDescent="0.2">
      <c r="A819" s="7"/>
    </row>
    <row r="820" spans="1:1" x14ac:dyDescent="0.2">
      <c r="A820" s="7"/>
    </row>
    <row r="821" spans="1:1" x14ac:dyDescent="0.2">
      <c r="A821" s="7"/>
    </row>
    <row r="822" spans="1:1" x14ac:dyDescent="0.2">
      <c r="A822" s="7"/>
    </row>
    <row r="823" spans="1:1" x14ac:dyDescent="0.2">
      <c r="A823" s="7"/>
    </row>
    <row r="824" spans="1:1" x14ac:dyDescent="0.2">
      <c r="A824" s="7"/>
    </row>
    <row r="825" spans="1:1" x14ac:dyDescent="0.2">
      <c r="A825" s="7"/>
    </row>
    <row r="826" spans="1:1" x14ac:dyDescent="0.2">
      <c r="A826" s="7"/>
    </row>
    <row r="827" spans="1:1" x14ac:dyDescent="0.2">
      <c r="A827" s="7"/>
    </row>
    <row r="828" spans="1:1" x14ac:dyDescent="0.2">
      <c r="A828" s="7"/>
    </row>
    <row r="829" spans="1:1" x14ac:dyDescent="0.2">
      <c r="A829" s="7"/>
    </row>
    <row r="830" spans="1:1" x14ac:dyDescent="0.2">
      <c r="A830" s="7"/>
    </row>
    <row r="831" spans="1:1" x14ac:dyDescent="0.2">
      <c r="A831" s="7"/>
    </row>
    <row r="832" spans="1:1" x14ac:dyDescent="0.2">
      <c r="A832" s="7"/>
    </row>
    <row r="833" spans="1:1" x14ac:dyDescent="0.2">
      <c r="A833" s="7"/>
    </row>
    <row r="834" spans="1:1" x14ac:dyDescent="0.2">
      <c r="A834" s="7"/>
    </row>
    <row r="835" spans="1:1" x14ac:dyDescent="0.2">
      <c r="A835" s="7"/>
    </row>
    <row r="836" spans="1:1" x14ac:dyDescent="0.2">
      <c r="A836" s="7"/>
    </row>
    <row r="837" spans="1:1" x14ac:dyDescent="0.2">
      <c r="A837" s="7"/>
    </row>
    <row r="838" spans="1:1" x14ac:dyDescent="0.2">
      <c r="A838" s="7"/>
    </row>
    <row r="839" spans="1:1" x14ac:dyDescent="0.2">
      <c r="A839" s="7"/>
    </row>
    <row r="840" spans="1:1" x14ac:dyDescent="0.2">
      <c r="A840" s="7"/>
    </row>
    <row r="841" spans="1:1" x14ac:dyDescent="0.2">
      <c r="A841" s="7"/>
    </row>
    <row r="842" spans="1:1" x14ac:dyDescent="0.2">
      <c r="A842" s="7"/>
    </row>
    <row r="843" spans="1:1" x14ac:dyDescent="0.2">
      <c r="A843" s="7"/>
    </row>
    <row r="844" spans="1:1" x14ac:dyDescent="0.2">
      <c r="A844" s="7"/>
    </row>
    <row r="845" spans="1:1" x14ac:dyDescent="0.2">
      <c r="A845" s="7"/>
    </row>
    <row r="846" spans="1:1" x14ac:dyDescent="0.2">
      <c r="A846" s="7"/>
    </row>
    <row r="847" spans="1:1" x14ac:dyDescent="0.2">
      <c r="A847" s="7"/>
    </row>
    <row r="848" spans="1:1" x14ac:dyDescent="0.2">
      <c r="A848" s="7"/>
    </row>
    <row r="849" spans="1:1" x14ac:dyDescent="0.2">
      <c r="A849" s="7"/>
    </row>
    <row r="850" spans="1:1" x14ac:dyDescent="0.2">
      <c r="A850" s="7"/>
    </row>
    <row r="851" spans="1:1" x14ac:dyDescent="0.2">
      <c r="A851" s="7"/>
    </row>
    <row r="852" spans="1:1" x14ac:dyDescent="0.2">
      <c r="A852" s="7"/>
    </row>
    <row r="853" spans="1:1" x14ac:dyDescent="0.2">
      <c r="A853" s="7"/>
    </row>
    <row r="854" spans="1:1" x14ac:dyDescent="0.2">
      <c r="A854" s="7"/>
    </row>
    <row r="855" spans="1:1" x14ac:dyDescent="0.2">
      <c r="A855" s="7"/>
    </row>
    <row r="856" spans="1:1" x14ac:dyDescent="0.2">
      <c r="A856" s="7"/>
    </row>
    <row r="857" spans="1:1" x14ac:dyDescent="0.2">
      <c r="A857" s="7"/>
    </row>
    <row r="858" spans="1:1" x14ac:dyDescent="0.2">
      <c r="A858" s="7"/>
    </row>
    <row r="859" spans="1:1" x14ac:dyDescent="0.2">
      <c r="A859" s="7"/>
    </row>
    <row r="860" spans="1:1" x14ac:dyDescent="0.2">
      <c r="A860" s="7"/>
    </row>
    <row r="861" spans="1:1" x14ac:dyDescent="0.2">
      <c r="A861" s="7"/>
    </row>
    <row r="862" spans="1:1" x14ac:dyDescent="0.2">
      <c r="A862" s="7"/>
    </row>
    <row r="863" spans="1:1" x14ac:dyDescent="0.2">
      <c r="A863" s="7"/>
    </row>
    <row r="864" spans="1:1" x14ac:dyDescent="0.2">
      <c r="A864" s="7"/>
    </row>
    <row r="865" spans="1:1" x14ac:dyDescent="0.2">
      <c r="A865" s="7"/>
    </row>
    <row r="866" spans="1:1" x14ac:dyDescent="0.2">
      <c r="A866" s="7"/>
    </row>
    <row r="867" spans="1:1" x14ac:dyDescent="0.2">
      <c r="A867" s="7"/>
    </row>
    <row r="868" spans="1:1" x14ac:dyDescent="0.2">
      <c r="A868" s="7"/>
    </row>
    <row r="869" spans="1:1" x14ac:dyDescent="0.2">
      <c r="A869" s="7"/>
    </row>
    <row r="870" spans="1:1" x14ac:dyDescent="0.2">
      <c r="A870" s="7"/>
    </row>
    <row r="871" spans="1:1" x14ac:dyDescent="0.2">
      <c r="A871" s="7"/>
    </row>
    <row r="872" spans="1:1" x14ac:dyDescent="0.2">
      <c r="A872" s="7"/>
    </row>
    <row r="873" spans="1:1" x14ac:dyDescent="0.2">
      <c r="A873" s="7"/>
    </row>
    <row r="874" spans="1:1" x14ac:dyDescent="0.2">
      <c r="A874" s="7"/>
    </row>
    <row r="875" spans="1:1" x14ac:dyDescent="0.2">
      <c r="A875" s="7"/>
    </row>
    <row r="876" spans="1:1" x14ac:dyDescent="0.2">
      <c r="A876" s="7"/>
    </row>
    <row r="877" spans="1:1" x14ac:dyDescent="0.2">
      <c r="A877" s="7"/>
    </row>
    <row r="878" spans="1:1" x14ac:dyDescent="0.2">
      <c r="A878" s="7"/>
    </row>
    <row r="879" spans="1:1" x14ac:dyDescent="0.2">
      <c r="A879" s="7"/>
    </row>
    <row r="880" spans="1:1" x14ac:dyDescent="0.2">
      <c r="A880" s="7"/>
    </row>
    <row r="881" spans="1:1" x14ac:dyDescent="0.2">
      <c r="A881" s="7"/>
    </row>
    <row r="882" spans="1:1" x14ac:dyDescent="0.2">
      <c r="A882" s="7"/>
    </row>
    <row r="883" spans="1:1" x14ac:dyDescent="0.2">
      <c r="A883" s="7"/>
    </row>
    <row r="884" spans="1:1" x14ac:dyDescent="0.2">
      <c r="A884" s="7"/>
    </row>
    <row r="885" spans="1:1" x14ac:dyDescent="0.2">
      <c r="A885" s="7"/>
    </row>
    <row r="886" spans="1:1" x14ac:dyDescent="0.2">
      <c r="A886" s="7"/>
    </row>
    <row r="887" spans="1:1" x14ac:dyDescent="0.2">
      <c r="A887" s="7"/>
    </row>
    <row r="888" spans="1:1" x14ac:dyDescent="0.2">
      <c r="A888" s="7"/>
    </row>
    <row r="889" spans="1:1" x14ac:dyDescent="0.2">
      <c r="A889" s="7"/>
    </row>
    <row r="890" spans="1:1" x14ac:dyDescent="0.2">
      <c r="A890" s="7"/>
    </row>
    <row r="891" spans="1:1" x14ac:dyDescent="0.2">
      <c r="A891" s="7"/>
    </row>
    <row r="892" spans="1:1" x14ac:dyDescent="0.2">
      <c r="A892" s="7"/>
    </row>
    <row r="893" spans="1:1" x14ac:dyDescent="0.2">
      <c r="A893" s="7"/>
    </row>
    <row r="894" spans="1:1" x14ac:dyDescent="0.2">
      <c r="A894" s="7"/>
    </row>
    <row r="895" spans="1:1" x14ac:dyDescent="0.2">
      <c r="A895" s="7"/>
    </row>
    <row r="896" spans="1:1" x14ac:dyDescent="0.2">
      <c r="A896" s="7"/>
    </row>
    <row r="897" spans="1:1" x14ac:dyDescent="0.2">
      <c r="A897" s="7"/>
    </row>
    <row r="898" spans="1:1" x14ac:dyDescent="0.2">
      <c r="A898" s="7"/>
    </row>
    <row r="899" spans="1:1" x14ac:dyDescent="0.2">
      <c r="A899" s="7"/>
    </row>
    <row r="900" spans="1:1" x14ac:dyDescent="0.2">
      <c r="A900" s="7"/>
    </row>
    <row r="901" spans="1:1" x14ac:dyDescent="0.2">
      <c r="A901" s="7"/>
    </row>
    <row r="902" spans="1:1" x14ac:dyDescent="0.2">
      <c r="A902" s="7"/>
    </row>
    <row r="903" spans="1:1" x14ac:dyDescent="0.2">
      <c r="A903" s="7"/>
    </row>
    <row r="904" spans="1:1" x14ac:dyDescent="0.2">
      <c r="A904" s="7"/>
    </row>
    <row r="905" spans="1:1" x14ac:dyDescent="0.2">
      <c r="A905" s="7"/>
    </row>
    <row r="906" spans="1:1" x14ac:dyDescent="0.2">
      <c r="A906" s="7"/>
    </row>
    <row r="907" spans="1:1" x14ac:dyDescent="0.2">
      <c r="A907" s="7"/>
    </row>
    <row r="908" spans="1:1" x14ac:dyDescent="0.2">
      <c r="A908" s="7"/>
    </row>
    <row r="909" spans="1:1" x14ac:dyDescent="0.2">
      <c r="A909" s="7"/>
    </row>
    <row r="910" spans="1:1" x14ac:dyDescent="0.2">
      <c r="A910" s="7"/>
    </row>
    <row r="911" spans="1:1" x14ac:dyDescent="0.2">
      <c r="A911" s="7"/>
    </row>
    <row r="912" spans="1:1" x14ac:dyDescent="0.2">
      <c r="A912" s="7"/>
    </row>
    <row r="913" spans="1:1" x14ac:dyDescent="0.2">
      <c r="A913" s="7"/>
    </row>
    <row r="914" spans="1:1" x14ac:dyDescent="0.2">
      <c r="A914" s="7"/>
    </row>
    <row r="915" spans="1:1" x14ac:dyDescent="0.2">
      <c r="A915" s="7"/>
    </row>
    <row r="916" spans="1:1" x14ac:dyDescent="0.2">
      <c r="A916" s="7"/>
    </row>
    <row r="917" spans="1:1" x14ac:dyDescent="0.2">
      <c r="A917" s="7"/>
    </row>
    <row r="918" spans="1:1" x14ac:dyDescent="0.2">
      <c r="A918" s="7"/>
    </row>
    <row r="919" spans="1:1" x14ac:dyDescent="0.2">
      <c r="A919" s="7"/>
    </row>
    <row r="920" spans="1:1" x14ac:dyDescent="0.2">
      <c r="A920" s="7"/>
    </row>
    <row r="921" spans="1:1" x14ac:dyDescent="0.2">
      <c r="A921" s="7"/>
    </row>
    <row r="922" spans="1:1" x14ac:dyDescent="0.2">
      <c r="A922" s="7"/>
    </row>
    <row r="923" spans="1:1" x14ac:dyDescent="0.2">
      <c r="A923" s="7"/>
    </row>
    <row r="924" spans="1:1" x14ac:dyDescent="0.2">
      <c r="A924" s="7"/>
    </row>
    <row r="925" spans="1:1" x14ac:dyDescent="0.2">
      <c r="A925" s="7"/>
    </row>
    <row r="926" spans="1:1" x14ac:dyDescent="0.2">
      <c r="A926" s="7"/>
    </row>
    <row r="927" spans="1:1" x14ac:dyDescent="0.2">
      <c r="A927" s="7"/>
    </row>
    <row r="928" spans="1:1" x14ac:dyDescent="0.2">
      <c r="A928" s="7"/>
    </row>
    <row r="929" spans="1:1" x14ac:dyDescent="0.2">
      <c r="A929" s="7"/>
    </row>
    <row r="930" spans="1:1" x14ac:dyDescent="0.2">
      <c r="A930" s="7"/>
    </row>
    <row r="931" spans="1:1" x14ac:dyDescent="0.2">
      <c r="A931" s="7"/>
    </row>
    <row r="932" spans="1:1" x14ac:dyDescent="0.2">
      <c r="A932" s="7"/>
    </row>
    <row r="933" spans="1:1" x14ac:dyDescent="0.2">
      <c r="A933" s="7"/>
    </row>
    <row r="934" spans="1:1" x14ac:dyDescent="0.2">
      <c r="A934" s="7"/>
    </row>
    <row r="935" spans="1:1" x14ac:dyDescent="0.2">
      <c r="A935" s="7"/>
    </row>
    <row r="936" spans="1:1" x14ac:dyDescent="0.2">
      <c r="A936" s="7"/>
    </row>
    <row r="937" spans="1:1" x14ac:dyDescent="0.2">
      <c r="A937" s="7"/>
    </row>
    <row r="938" spans="1:1" x14ac:dyDescent="0.2">
      <c r="A938" s="7"/>
    </row>
    <row r="939" spans="1:1" x14ac:dyDescent="0.2">
      <c r="A939" s="7"/>
    </row>
    <row r="940" spans="1:1" x14ac:dyDescent="0.2">
      <c r="A940" s="7"/>
    </row>
    <row r="941" spans="1:1" x14ac:dyDescent="0.2">
      <c r="A941" s="7"/>
    </row>
    <row r="942" spans="1:1" x14ac:dyDescent="0.2">
      <c r="A942" s="7"/>
    </row>
    <row r="943" spans="1:1" x14ac:dyDescent="0.2">
      <c r="A943" s="7"/>
    </row>
    <row r="944" spans="1:1" x14ac:dyDescent="0.2">
      <c r="A944" s="7"/>
    </row>
    <row r="945" spans="1:1" x14ac:dyDescent="0.2">
      <c r="A945" s="7"/>
    </row>
    <row r="946" spans="1:1" x14ac:dyDescent="0.2">
      <c r="A946" s="7"/>
    </row>
    <row r="947" spans="1:1" x14ac:dyDescent="0.2">
      <c r="A947" s="7"/>
    </row>
    <row r="948" spans="1:1" x14ac:dyDescent="0.2">
      <c r="A948" s="7"/>
    </row>
    <row r="949" spans="1:1" x14ac:dyDescent="0.2">
      <c r="A949" s="7"/>
    </row>
    <row r="950" spans="1:1" x14ac:dyDescent="0.2">
      <c r="A950" s="7"/>
    </row>
    <row r="951" spans="1:1" x14ac:dyDescent="0.2">
      <c r="A951" s="7"/>
    </row>
    <row r="952" spans="1:1" x14ac:dyDescent="0.2">
      <c r="A952" s="7"/>
    </row>
    <row r="953" spans="1:1" x14ac:dyDescent="0.2">
      <c r="A953" s="7"/>
    </row>
    <row r="954" spans="1:1" x14ac:dyDescent="0.2">
      <c r="A954" s="7"/>
    </row>
    <row r="955" spans="1:1" x14ac:dyDescent="0.2">
      <c r="A955" s="7"/>
    </row>
    <row r="956" spans="1:1" x14ac:dyDescent="0.2">
      <c r="A956" s="7"/>
    </row>
    <row r="957" spans="1:1" x14ac:dyDescent="0.2">
      <c r="A957" s="7"/>
    </row>
    <row r="958" spans="1:1" x14ac:dyDescent="0.2">
      <c r="A958" s="7"/>
    </row>
    <row r="959" spans="1:1" x14ac:dyDescent="0.2">
      <c r="A959" s="7"/>
    </row>
    <row r="960" spans="1:1" x14ac:dyDescent="0.2">
      <c r="A960" s="7"/>
    </row>
    <row r="961" spans="1:1" x14ac:dyDescent="0.2">
      <c r="A961" s="7"/>
    </row>
    <row r="962" spans="1:1" x14ac:dyDescent="0.2">
      <c r="A962" s="7"/>
    </row>
    <row r="963" spans="1:1" x14ac:dyDescent="0.2">
      <c r="A963" s="7"/>
    </row>
    <row r="964" spans="1:1" x14ac:dyDescent="0.2">
      <c r="A964" s="7"/>
    </row>
    <row r="965" spans="1:1" x14ac:dyDescent="0.2">
      <c r="A965" s="7"/>
    </row>
    <row r="966" spans="1:1" x14ac:dyDescent="0.2">
      <c r="A966" s="7"/>
    </row>
    <row r="967" spans="1:1" x14ac:dyDescent="0.2">
      <c r="A967" s="7"/>
    </row>
    <row r="968" spans="1:1" x14ac:dyDescent="0.2">
      <c r="A968" s="7"/>
    </row>
    <row r="969" spans="1:1" x14ac:dyDescent="0.2">
      <c r="A969" s="7"/>
    </row>
    <row r="970" spans="1:1" x14ac:dyDescent="0.2">
      <c r="A970" s="7"/>
    </row>
    <row r="971" spans="1:1" x14ac:dyDescent="0.2">
      <c r="A971" s="7"/>
    </row>
    <row r="972" spans="1:1" x14ac:dyDescent="0.2">
      <c r="A972" s="7"/>
    </row>
    <row r="973" spans="1:1" x14ac:dyDescent="0.2">
      <c r="A973" s="7"/>
    </row>
    <row r="974" spans="1:1" x14ac:dyDescent="0.2">
      <c r="A974" s="7"/>
    </row>
    <row r="975" spans="1:1" x14ac:dyDescent="0.2">
      <c r="A975" s="7"/>
    </row>
    <row r="976" spans="1:1" x14ac:dyDescent="0.2">
      <c r="A976" s="7"/>
    </row>
    <row r="977" spans="1:1" x14ac:dyDescent="0.2">
      <c r="A977" s="7"/>
    </row>
    <row r="978" spans="1:1" x14ac:dyDescent="0.2">
      <c r="A978" s="7"/>
    </row>
    <row r="979" spans="1:1" x14ac:dyDescent="0.2">
      <c r="A979" s="7"/>
    </row>
    <row r="980" spans="1:1" x14ac:dyDescent="0.2">
      <c r="A980" s="7"/>
    </row>
    <row r="981" spans="1:1" x14ac:dyDescent="0.2">
      <c r="A981" s="7"/>
    </row>
    <row r="982" spans="1:1" x14ac:dyDescent="0.2">
      <c r="A982" s="7"/>
    </row>
    <row r="983" spans="1:1" x14ac:dyDescent="0.2">
      <c r="A983" s="7"/>
    </row>
    <row r="984" spans="1:1" x14ac:dyDescent="0.2">
      <c r="A984" s="7"/>
    </row>
    <row r="985" spans="1:1" x14ac:dyDescent="0.2">
      <c r="A985" s="7"/>
    </row>
    <row r="986" spans="1:1" x14ac:dyDescent="0.2">
      <c r="A986" s="7"/>
    </row>
    <row r="987" spans="1:1" x14ac:dyDescent="0.2">
      <c r="A987" s="7"/>
    </row>
    <row r="988" spans="1:1" x14ac:dyDescent="0.2">
      <c r="A988" s="7"/>
    </row>
    <row r="989" spans="1:1" x14ac:dyDescent="0.2">
      <c r="A989" s="7"/>
    </row>
    <row r="990" spans="1:1" x14ac:dyDescent="0.2">
      <c r="A990" s="7"/>
    </row>
    <row r="991" spans="1:1" x14ac:dyDescent="0.2">
      <c r="A991" s="7"/>
    </row>
    <row r="992" spans="1:1" x14ac:dyDescent="0.2">
      <c r="A992" s="7"/>
    </row>
    <row r="993" spans="1:1" x14ac:dyDescent="0.2">
      <c r="A993" s="7"/>
    </row>
    <row r="994" spans="1:1" x14ac:dyDescent="0.2">
      <c r="A994" s="7"/>
    </row>
    <row r="995" spans="1:1" x14ac:dyDescent="0.2">
      <c r="A995" s="7"/>
    </row>
    <row r="996" spans="1:1" x14ac:dyDescent="0.2">
      <c r="A996" s="7"/>
    </row>
    <row r="997" spans="1:1" x14ac:dyDescent="0.2">
      <c r="A997" s="7"/>
    </row>
    <row r="998" spans="1:1" x14ac:dyDescent="0.2">
      <c r="A998" s="7"/>
    </row>
    <row r="999" spans="1:1" x14ac:dyDescent="0.2">
      <c r="A999" s="7"/>
    </row>
    <row r="1000" spans="1:1" x14ac:dyDescent="0.2">
      <c r="A1000" s="7"/>
    </row>
    <row r="1001" spans="1:1" x14ac:dyDescent="0.2">
      <c r="A1001" s="7"/>
    </row>
    <row r="1002" spans="1:1" x14ac:dyDescent="0.2">
      <c r="A1002" s="7"/>
    </row>
    <row r="1003" spans="1:1" x14ac:dyDescent="0.2">
      <c r="A1003" s="7"/>
    </row>
    <row r="1004" spans="1:1" x14ac:dyDescent="0.2">
      <c r="A1004" s="7"/>
    </row>
    <row r="1005" spans="1:1" x14ac:dyDescent="0.2">
      <c r="A1005" s="7"/>
    </row>
    <row r="1006" spans="1:1" x14ac:dyDescent="0.2">
      <c r="A1006" s="7"/>
    </row>
    <row r="1007" spans="1:1" x14ac:dyDescent="0.2">
      <c r="A1007" s="7"/>
    </row>
    <row r="1008" spans="1:1" x14ac:dyDescent="0.2">
      <c r="A1008" s="7"/>
    </row>
    <row r="1009" spans="1:1" x14ac:dyDescent="0.2">
      <c r="A1009" s="7"/>
    </row>
    <row r="1010" spans="1:1" x14ac:dyDescent="0.2">
      <c r="A1010" s="7"/>
    </row>
    <row r="1011" spans="1:1" x14ac:dyDescent="0.2">
      <c r="A1011" s="7"/>
    </row>
    <row r="1012" spans="1:1" x14ac:dyDescent="0.2">
      <c r="A1012" s="7"/>
    </row>
    <row r="1013" spans="1:1" x14ac:dyDescent="0.2">
      <c r="A1013" s="7"/>
    </row>
    <row r="1014" spans="1:1" x14ac:dyDescent="0.2">
      <c r="A1014" s="7"/>
    </row>
    <row r="1015" spans="1:1" x14ac:dyDescent="0.2">
      <c r="A1015" s="7"/>
    </row>
    <row r="1016" spans="1:1" x14ac:dyDescent="0.2">
      <c r="A1016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Black-Litterman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John Mohmedi</cp:lastModifiedBy>
  <dcterms:created xsi:type="dcterms:W3CDTF">2022-03-19T12:14:13Z</dcterms:created>
  <dcterms:modified xsi:type="dcterms:W3CDTF">2025-11-09T19:24:59Z</dcterms:modified>
</cp:coreProperties>
</file>